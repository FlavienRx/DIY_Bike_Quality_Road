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9029"/>
  <workbookPr filterPrivacy="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3" i="1" l="1"/>
  <c r="I73" i="1" s="1"/>
  <c r="E73" i="1"/>
  <c r="D73" i="1"/>
  <c r="B73" i="1"/>
  <c r="H72" i="1"/>
  <c r="I72" i="1" s="1"/>
  <c r="E72" i="1"/>
  <c r="D72" i="1"/>
  <c r="B72" i="1"/>
  <c r="H71" i="1"/>
  <c r="I71" i="1" s="1"/>
  <c r="D71" i="1"/>
  <c r="B71" i="1"/>
  <c r="E71" i="1" s="1"/>
  <c r="I70" i="1"/>
  <c r="H70" i="1"/>
  <c r="D70" i="1"/>
  <c r="B70" i="1"/>
  <c r="E70" i="1" s="1"/>
  <c r="H69" i="1"/>
  <c r="I69" i="1" s="1"/>
  <c r="E69" i="1"/>
  <c r="D69" i="1"/>
  <c r="B69" i="1"/>
  <c r="H68" i="1"/>
  <c r="I68" i="1" s="1"/>
  <c r="E68" i="1"/>
  <c r="D68" i="1"/>
  <c r="B68" i="1"/>
  <c r="H67" i="1"/>
  <c r="I67" i="1" s="1"/>
  <c r="D67" i="1"/>
  <c r="B67" i="1"/>
  <c r="E67" i="1" s="1"/>
  <c r="E66" i="1"/>
  <c r="D66" i="1"/>
  <c r="B66" i="1"/>
  <c r="H63" i="1"/>
  <c r="I63" i="1" s="1"/>
  <c r="D63" i="1"/>
  <c r="B63" i="1"/>
  <c r="E63" i="1" s="1"/>
  <c r="I62" i="1"/>
  <c r="H62" i="1"/>
  <c r="D62" i="1"/>
  <c r="B62" i="1"/>
  <c r="E62" i="1" s="1"/>
  <c r="H61" i="1"/>
  <c r="I61" i="1" s="1"/>
  <c r="E61" i="1"/>
  <c r="D61" i="1"/>
  <c r="B61" i="1"/>
  <c r="H60" i="1"/>
  <c r="I60" i="1" s="1"/>
  <c r="E60" i="1"/>
  <c r="D60" i="1"/>
  <c r="B60" i="1"/>
  <c r="H59" i="1"/>
  <c r="I59" i="1" s="1"/>
  <c r="D59" i="1"/>
  <c r="B59" i="1"/>
  <c r="E59" i="1" s="1"/>
  <c r="I58" i="1"/>
  <c r="H58" i="1"/>
  <c r="D58" i="1"/>
  <c r="B58" i="1"/>
  <c r="E58" i="1" s="1"/>
  <c r="H57" i="1"/>
  <c r="I57" i="1" s="1"/>
  <c r="E57" i="1"/>
  <c r="K57" i="1" s="1"/>
  <c r="K58" i="1" s="1"/>
  <c r="K59" i="1" s="1"/>
  <c r="K60" i="1" s="1"/>
  <c r="K61" i="1" s="1"/>
  <c r="K62" i="1" s="1"/>
  <c r="K63" i="1" s="1"/>
  <c r="D57" i="1"/>
  <c r="B57" i="1"/>
  <c r="D56" i="1"/>
  <c r="B56" i="1"/>
  <c r="E56" i="1" s="1"/>
  <c r="J57" i="1" s="1"/>
  <c r="J58" i="1" s="1"/>
  <c r="J59" i="1" s="1"/>
  <c r="J60" i="1" s="1"/>
  <c r="J61" i="1" s="1"/>
  <c r="J62" i="1" s="1"/>
  <c r="J63" i="1" s="1"/>
  <c r="H53" i="1"/>
  <c r="I53" i="1" s="1"/>
  <c r="D53" i="1"/>
  <c r="B53" i="1"/>
  <c r="E53" i="1" s="1"/>
  <c r="I52" i="1"/>
  <c r="H52" i="1"/>
  <c r="D52" i="1"/>
  <c r="B52" i="1"/>
  <c r="E52" i="1" s="1"/>
  <c r="H51" i="1"/>
  <c r="I51" i="1" s="1"/>
  <c r="E51" i="1"/>
  <c r="D51" i="1"/>
  <c r="B51" i="1"/>
  <c r="H50" i="1"/>
  <c r="I50" i="1" s="1"/>
  <c r="E50" i="1"/>
  <c r="D50" i="1"/>
  <c r="B50" i="1"/>
  <c r="H49" i="1"/>
  <c r="I49" i="1" s="1"/>
  <c r="D49" i="1"/>
  <c r="B49" i="1"/>
  <c r="E49" i="1" s="1"/>
  <c r="M47" i="1" s="1"/>
  <c r="M48" i="1" s="1"/>
  <c r="M49" i="1" s="1"/>
  <c r="M50" i="1" s="1"/>
  <c r="M51" i="1" s="1"/>
  <c r="M52" i="1" s="1"/>
  <c r="M53" i="1" s="1"/>
  <c r="I48" i="1"/>
  <c r="H48" i="1"/>
  <c r="D48" i="1"/>
  <c r="B48" i="1"/>
  <c r="E48" i="1" s="1"/>
  <c r="L47" i="1" s="1"/>
  <c r="L48" i="1" s="1"/>
  <c r="L49" i="1" s="1"/>
  <c r="L50" i="1" s="1"/>
  <c r="L51" i="1" s="1"/>
  <c r="L52" i="1" s="1"/>
  <c r="L53" i="1" s="1"/>
  <c r="H47" i="1"/>
  <c r="I47" i="1" s="1"/>
  <c r="E47" i="1"/>
  <c r="D47" i="1"/>
  <c r="B47" i="1"/>
  <c r="D46" i="1"/>
  <c r="B46" i="1"/>
  <c r="E46" i="1" s="1"/>
  <c r="J47" i="1" s="1"/>
  <c r="J48" i="1" s="1"/>
  <c r="J49" i="1" s="1"/>
  <c r="J50" i="1" s="1"/>
  <c r="J51" i="1" s="1"/>
  <c r="J52" i="1" s="1"/>
  <c r="J53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7" i="1"/>
  <c r="I7" i="1" s="1"/>
  <c r="D43" i="1"/>
  <c r="B43" i="1"/>
  <c r="E43" i="1" s="1"/>
  <c r="D42" i="1"/>
  <c r="B42" i="1"/>
  <c r="E42" i="1" s="1"/>
  <c r="D41" i="1"/>
  <c r="B41" i="1"/>
  <c r="E41" i="1" s="1"/>
  <c r="D40" i="1"/>
  <c r="B40" i="1"/>
  <c r="E40" i="1" s="1"/>
  <c r="D39" i="1"/>
  <c r="B39" i="1"/>
  <c r="E39" i="1" s="1"/>
  <c r="D38" i="1"/>
  <c r="B38" i="1"/>
  <c r="E38" i="1" s="1"/>
  <c r="D37" i="1"/>
  <c r="B37" i="1"/>
  <c r="E37" i="1" s="1"/>
  <c r="D36" i="1"/>
  <c r="B36" i="1"/>
  <c r="E36" i="1" s="1"/>
  <c r="D33" i="1"/>
  <c r="B33" i="1"/>
  <c r="E33" i="1" s="1"/>
  <c r="D32" i="1"/>
  <c r="B32" i="1"/>
  <c r="E32" i="1" s="1"/>
  <c r="D31" i="1"/>
  <c r="B31" i="1"/>
  <c r="E31" i="1" s="1"/>
  <c r="D30" i="1"/>
  <c r="B30" i="1"/>
  <c r="E30" i="1" s="1"/>
  <c r="D29" i="1"/>
  <c r="B29" i="1"/>
  <c r="E29" i="1" s="1"/>
  <c r="D28" i="1"/>
  <c r="B28" i="1"/>
  <c r="E28" i="1" s="1"/>
  <c r="D27" i="1"/>
  <c r="B27" i="1"/>
  <c r="E27" i="1" s="1"/>
  <c r="D26" i="1"/>
  <c r="B26" i="1"/>
  <c r="E26" i="1" s="1"/>
  <c r="D23" i="1"/>
  <c r="B23" i="1"/>
  <c r="E23" i="1" s="1"/>
  <c r="D22" i="1"/>
  <c r="B22" i="1"/>
  <c r="E22" i="1" s="1"/>
  <c r="D21" i="1"/>
  <c r="B21" i="1"/>
  <c r="E21" i="1" s="1"/>
  <c r="D20" i="1"/>
  <c r="B20" i="1"/>
  <c r="E20" i="1" s="1"/>
  <c r="D19" i="1"/>
  <c r="B19" i="1"/>
  <c r="E19" i="1" s="1"/>
  <c r="D18" i="1"/>
  <c r="B18" i="1"/>
  <c r="E18" i="1" s="1"/>
  <c r="D17" i="1"/>
  <c r="B17" i="1"/>
  <c r="E17" i="1" s="1"/>
  <c r="D16" i="1"/>
  <c r="B16" i="1"/>
  <c r="E16" i="1" s="1"/>
  <c r="D7" i="1"/>
  <c r="D8" i="1"/>
  <c r="D9" i="1"/>
  <c r="D10" i="1"/>
  <c r="D11" i="1"/>
  <c r="D12" i="1"/>
  <c r="D13" i="1"/>
  <c r="D6" i="1"/>
  <c r="B7" i="1"/>
  <c r="E7" i="1" s="1"/>
  <c r="B8" i="1"/>
  <c r="E8" i="1" s="1"/>
  <c r="B9" i="1"/>
  <c r="E9" i="1" s="1"/>
  <c r="B10" i="1"/>
  <c r="E10" i="1" s="1"/>
  <c r="B11" i="1"/>
  <c r="E11" i="1" s="1"/>
  <c r="B12" i="1"/>
  <c r="E12" i="1" s="1"/>
  <c r="B13" i="1"/>
  <c r="E13" i="1" s="1"/>
  <c r="B6" i="1"/>
  <c r="E6" i="1" s="1"/>
  <c r="J67" i="1" l="1"/>
  <c r="J68" i="1" s="1"/>
  <c r="J69" i="1" s="1"/>
  <c r="J70" i="1" s="1"/>
  <c r="J71" i="1" s="1"/>
  <c r="J72" i="1" s="1"/>
  <c r="J73" i="1" s="1"/>
  <c r="N67" i="1"/>
  <c r="N68" i="1" s="1"/>
  <c r="N69" i="1" s="1"/>
  <c r="N70" i="1" s="1"/>
  <c r="N71" i="1" s="1"/>
  <c r="N72" i="1" s="1"/>
  <c r="N73" i="1" s="1"/>
  <c r="O67" i="1"/>
  <c r="O68" i="1" s="1"/>
  <c r="O69" i="1" s="1"/>
  <c r="O70" i="1" s="1"/>
  <c r="O71" i="1" s="1"/>
  <c r="O72" i="1" s="1"/>
  <c r="O73" i="1" s="1"/>
  <c r="K67" i="1"/>
  <c r="K68" i="1" s="1"/>
  <c r="K69" i="1" s="1"/>
  <c r="K70" i="1" s="1"/>
  <c r="K71" i="1" s="1"/>
  <c r="K72" i="1" s="1"/>
  <c r="K73" i="1" s="1"/>
  <c r="Q67" i="1"/>
  <c r="Q68" i="1" s="1"/>
  <c r="Q69" i="1" s="1"/>
  <c r="Q70" i="1" s="1"/>
  <c r="Q71" i="1" s="1"/>
  <c r="Q72" i="1" s="1"/>
  <c r="Q73" i="1" s="1"/>
  <c r="M67" i="1"/>
  <c r="M68" i="1" s="1"/>
  <c r="M69" i="1" s="1"/>
  <c r="M70" i="1" s="1"/>
  <c r="M71" i="1" s="1"/>
  <c r="M72" i="1" s="1"/>
  <c r="M73" i="1" s="1"/>
  <c r="P67" i="1"/>
  <c r="P68" i="1" s="1"/>
  <c r="P69" i="1" s="1"/>
  <c r="P70" i="1" s="1"/>
  <c r="P71" i="1" s="1"/>
  <c r="P72" i="1" s="1"/>
  <c r="P73" i="1" s="1"/>
  <c r="L67" i="1"/>
  <c r="L68" i="1" s="1"/>
  <c r="L69" i="1" s="1"/>
  <c r="L70" i="1" s="1"/>
  <c r="L71" i="1" s="1"/>
  <c r="L72" i="1" s="1"/>
  <c r="L73" i="1" s="1"/>
  <c r="O57" i="1"/>
  <c r="O58" i="1" s="1"/>
  <c r="O59" i="1" s="1"/>
  <c r="O60" i="1" s="1"/>
  <c r="O61" i="1" s="1"/>
  <c r="O62" i="1" s="1"/>
  <c r="O63" i="1" s="1"/>
  <c r="N57" i="1"/>
  <c r="N58" i="1" s="1"/>
  <c r="N59" i="1" s="1"/>
  <c r="N60" i="1" s="1"/>
  <c r="N61" i="1" s="1"/>
  <c r="N62" i="1" s="1"/>
  <c r="N63" i="1" s="1"/>
  <c r="P57" i="1"/>
  <c r="P58" i="1" s="1"/>
  <c r="P59" i="1" s="1"/>
  <c r="P60" i="1" s="1"/>
  <c r="P61" i="1" s="1"/>
  <c r="P62" i="1" s="1"/>
  <c r="P63" i="1" s="1"/>
  <c r="Q57" i="1"/>
  <c r="Q58" i="1" s="1"/>
  <c r="Q59" i="1" s="1"/>
  <c r="Q60" i="1" s="1"/>
  <c r="Q61" i="1" s="1"/>
  <c r="Q62" i="1" s="1"/>
  <c r="Q63" i="1" s="1"/>
  <c r="L57" i="1"/>
  <c r="L58" i="1" s="1"/>
  <c r="L59" i="1" s="1"/>
  <c r="L60" i="1" s="1"/>
  <c r="L61" i="1" s="1"/>
  <c r="L62" i="1" s="1"/>
  <c r="L63" i="1" s="1"/>
  <c r="M57" i="1"/>
  <c r="M58" i="1" s="1"/>
  <c r="M59" i="1" s="1"/>
  <c r="M60" i="1" s="1"/>
  <c r="M61" i="1" s="1"/>
  <c r="M62" i="1" s="1"/>
  <c r="M63" i="1" s="1"/>
  <c r="K47" i="1"/>
  <c r="K48" i="1" s="1"/>
  <c r="K49" i="1" s="1"/>
  <c r="K50" i="1" s="1"/>
  <c r="K51" i="1" s="1"/>
  <c r="K52" i="1" s="1"/>
  <c r="K53" i="1" s="1"/>
  <c r="O47" i="1"/>
  <c r="O48" i="1" s="1"/>
  <c r="O49" i="1" s="1"/>
  <c r="O50" i="1" s="1"/>
  <c r="O51" i="1" s="1"/>
  <c r="O52" i="1" s="1"/>
  <c r="O53" i="1" s="1"/>
  <c r="N47" i="1"/>
  <c r="N48" i="1" s="1"/>
  <c r="N49" i="1" s="1"/>
  <c r="N50" i="1" s="1"/>
  <c r="N51" i="1" s="1"/>
  <c r="N52" i="1" s="1"/>
  <c r="N53" i="1" s="1"/>
  <c r="P47" i="1"/>
  <c r="P48" i="1" s="1"/>
  <c r="P49" i="1" s="1"/>
  <c r="P50" i="1" s="1"/>
  <c r="P51" i="1" s="1"/>
  <c r="P52" i="1" s="1"/>
  <c r="P53" i="1" s="1"/>
  <c r="Q47" i="1"/>
  <c r="Q48" i="1" s="1"/>
  <c r="Q49" i="1" s="1"/>
  <c r="Q50" i="1" s="1"/>
  <c r="Q51" i="1" s="1"/>
  <c r="Q52" i="1" s="1"/>
  <c r="Q53" i="1" s="1"/>
  <c r="P17" i="1"/>
  <c r="P18" i="1" s="1"/>
  <c r="P19" i="1" s="1"/>
  <c r="P20" i="1" s="1"/>
  <c r="P21" i="1" s="1"/>
  <c r="P22" i="1" s="1"/>
  <c r="P23" i="1" s="1"/>
  <c r="Q7" i="1"/>
  <c r="Q8" i="1" s="1"/>
  <c r="Q9" i="1" s="1"/>
  <c r="Q10" i="1" s="1"/>
  <c r="Q11" i="1" s="1"/>
  <c r="Q12" i="1" s="1"/>
  <c r="Q13" i="1" s="1"/>
  <c r="K7" i="1"/>
  <c r="K8" i="1" s="1"/>
  <c r="K9" i="1" s="1"/>
  <c r="K10" i="1" s="1"/>
  <c r="K11" i="1" s="1"/>
  <c r="K12" i="1" s="1"/>
  <c r="K13" i="1" s="1"/>
  <c r="L7" i="1"/>
  <c r="L8" i="1" s="1"/>
  <c r="L9" i="1" s="1"/>
  <c r="L10" i="1" s="1"/>
  <c r="L11" i="1" s="1"/>
  <c r="L12" i="1" s="1"/>
  <c r="L13" i="1" s="1"/>
  <c r="O37" i="1"/>
  <c r="O38" i="1" s="1"/>
  <c r="O39" i="1" s="1"/>
  <c r="O40" i="1" s="1"/>
  <c r="O41" i="1" s="1"/>
  <c r="O42" i="1" s="1"/>
  <c r="O43" i="1" s="1"/>
  <c r="K37" i="1"/>
  <c r="K38" i="1" s="1"/>
  <c r="K39" i="1" s="1"/>
  <c r="K40" i="1" s="1"/>
  <c r="K41" i="1" s="1"/>
  <c r="K42" i="1" s="1"/>
  <c r="K43" i="1" s="1"/>
  <c r="N37" i="1"/>
  <c r="N38" i="1" s="1"/>
  <c r="N39" i="1" s="1"/>
  <c r="N40" i="1" s="1"/>
  <c r="N41" i="1" s="1"/>
  <c r="N42" i="1" s="1"/>
  <c r="N43" i="1" s="1"/>
  <c r="Q37" i="1"/>
  <c r="Q38" i="1" s="1"/>
  <c r="Q39" i="1" s="1"/>
  <c r="Q40" i="1" s="1"/>
  <c r="Q41" i="1" s="1"/>
  <c r="Q42" i="1" s="1"/>
  <c r="Q43" i="1" s="1"/>
  <c r="J37" i="1"/>
  <c r="J38" i="1" s="1"/>
  <c r="J39" i="1" s="1"/>
  <c r="J40" i="1" s="1"/>
  <c r="J41" i="1" s="1"/>
  <c r="J42" i="1" s="1"/>
  <c r="J43" i="1" s="1"/>
  <c r="M37" i="1"/>
  <c r="M38" i="1" s="1"/>
  <c r="M39" i="1" s="1"/>
  <c r="M40" i="1" s="1"/>
  <c r="M41" i="1" s="1"/>
  <c r="M42" i="1" s="1"/>
  <c r="M43" i="1" s="1"/>
  <c r="P37" i="1"/>
  <c r="P38" i="1" s="1"/>
  <c r="P39" i="1" s="1"/>
  <c r="P40" i="1" s="1"/>
  <c r="P41" i="1" s="1"/>
  <c r="P42" i="1" s="1"/>
  <c r="P43" i="1" s="1"/>
  <c r="L37" i="1"/>
  <c r="L38" i="1" s="1"/>
  <c r="L39" i="1" s="1"/>
  <c r="L40" i="1" s="1"/>
  <c r="L41" i="1" s="1"/>
  <c r="L42" i="1" s="1"/>
  <c r="L43" i="1" s="1"/>
  <c r="Q27" i="1"/>
  <c r="Q28" i="1" s="1"/>
  <c r="Q29" i="1" s="1"/>
  <c r="Q30" i="1" s="1"/>
  <c r="Q31" i="1" s="1"/>
  <c r="Q32" i="1" s="1"/>
  <c r="Q33" i="1" s="1"/>
  <c r="M27" i="1"/>
  <c r="M28" i="1" s="1"/>
  <c r="M29" i="1" s="1"/>
  <c r="M30" i="1" s="1"/>
  <c r="M31" i="1" s="1"/>
  <c r="M32" i="1" s="1"/>
  <c r="M33" i="1" s="1"/>
  <c r="L27" i="1"/>
  <c r="L28" i="1" s="1"/>
  <c r="L29" i="1" s="1"/>
  <c r="L30" i="1" s="1"/>
  <c r="L31" i="1" s="1"/>
  <c r="L32" i="1" s="1"/>
  <c r="L33" i="1" s="1"/>
  <c r="P27" i="1"/>
  <c r="P28" i="1" s="1"/>
  <c r="P29" i="1" s="1"/>
  <c r="P30" i="1" s="1"/>
  <c r="P31" i="1" s="1"/>
  <c r="P32" i="1" s="1"/>
  <c r="P33" i="1" s="1"/>
  <c r="J27" i="1"/>
  <c r="J28" i="1" s="1"/>
  <c r="J29" i="1" s="1"/>
  <c r="J30" i="1" s="1"/>
  <c r="J31" i="1" s="1"/>
  <c r="J32" i="1" s="1"/>
  <c r="J33" i="1" s="1"/>
  <c r="O27" i="1"/>
  <c r="O28" i="1" s="1"/>
  <c r="O29" i="1" s="1"/>
  <c r="O30" i="1" s="1"/>
  <c r="O31" i="1" s="1"/>
  <c r="O32" i="1" s="1"/>
  <c r="O33" i="1" s="1"/>
  <c r="K27" i="1"/>
  <c r="K28" i="1" s="1"/>
  <c r="K29" i="1" s="1"/>
  <c r="K30" i="1" s="1"/>
  <c r="K31" i="1" s="1"/>
  <c r="K32" i="1" s="1"/>
  <c r="K33" i="1" s="1"/>
  <c r="N27" i="1"/>
  <c r="N28" i="1" s="1"/>
  <c r="N29" i="1" s="1"/>
  <c r="N30" i="1" s="1"/>
  <c r="N31" i="1" s="1"/>
  <c r="N32" i="1" s="1"/>
  <c r="N33" i="1" s="1"/>
  <c r="M17" i="1"/>
  <c r="M18" i="1" s="1"/>
  <c r="M19" i="1" s="1"/>
  <c r="M20" i="1" s="1"/>
  <c r="M21" i="1" s="1"/>
  <c r="M22" i="1" s="1"/>
  <c r="M23" i="1" s="1"/>
  <c r="K17" i="1"/>
  <c r="K18" i="1" s="1"/>
  <c r="K19" i="1" s="1"/>
  <c r="K20" i="1" s="1"/>
  <c r="K21" i="1" s="1"/>
  <c r="K22" i="1" s="1"/>
  <c r="K23" i="1" s="1"/>
  <c r="O17" i="1"/>
  <c r="O18" i="1" s="1"/>
  <c r="O19" i="1" s="1"/>
  <c r="O20" i="1" s="1"/>
  <c r="O21" i="1" s="1"/>
  <c r="O22" i="1" s="1"/>
  <c r="O23" i="1" s="1"/>
  <c r="Q17" i="1"/>
  <c r="Q18" i="1" s="1"/>
  <c r="Q19" i="1" s="1"/>
  <c r="Q20" i="1" s="1"/>
  <c r="Q21" i="1" s="1"/>
  <c r="Q22" i="1" s="1"/>
  <c r="Q23" i="1" s="1"/>
  <c r="J17" i="1"/>
  <c r="J18" i="1" s="1"/>
  <c r="J19" i="1" s="1"/>
  <c r="J20" i="1" s="1"/>
  <c r="J21" i="1" s="1"/>
  <c r="J22" i="1" s="1"/>
  <c r="J23" i="1" s="1"/>
  <c r="N17" i="1"/>
  <c r="N18" i="1" s="1"/>
  <c r="N19" i="1" s="1"/>
  <c r="N20" i="1" s="1"/>
  <c r="N21" i="1" s="1"/>
  <c r="N22" i="1" s="1"/>
  <c r="N23" i="1" s="1"/>
  <c r="L17" i="1"/>
  <c r="L18" i="1" s="1"/>
  <c r="L19" i="1" s="1"/>
  <c r="L20" i="1" s="1"/>
  <c r="L21" i="1" s="1"/>
  <c r="L22" i="1" s="1"/>
  <c r="L23" i="1" s="1"/>
  <c r="M7" i="1"/>
  <c r="M8" i="1" s="1"/>
  <c r="M9" i="1" s="1"/>
  <c r="M10" i="1" s="1"/>
  <c r="M11" i="1" s="1"/>
  <c r="M12" i="1" s="1"/>
  <c r="M13" i="1" s="1"/>
  <c r="P7" i="1"/>
  <c r="P8" i="1" s="1"/>
  <c r="P9" i="1" s="1"/>
  <c r="P10" i="1" s="1"/>
  <c r="P11" i="1" s="1"/>
  <c r="P12" i="1" s="1"/>
  <c r="P13" i="1" s="1"/>
  <c r="N7" i="1"/>
  <c r="N8" i="1" s="1"/>
  <c r="N9" i="1" s="1"/>
  <c r="N10" i="1" s="1"/>
  <c r="N11" i="1" s="1"/>
  <c r="N12" i="1" s="1"/>
  <c r="N13" i="1" s="1"/>
  <c r="J7" i="1"/>
  <c r="J8" i="1" s="1"/>
  <c r="J9" i="1" s="1"/>
  <c r="J10" i="1" s="1"/>
  <c r="J11" i="1" s="1"/>
  <c r="J12" i="1" s="1"/>
  <c r="J13" i="1" s="1"/>
  <c r="O7" i="1"/>
  <c r="O8" i="1" s="1"/>
  <c r="O9" i="1" s="1"/>
  <c r="O10" i="1" s="1"/>
  <c r="O11" i="1" s="1"/>
  <c r="O12" i="1" s="1"/>
  <c r="O13" i="1" s="1"/>
</calcChain>
</file>

<file path=xl/sharedStrings.xml><?xml version="1.0" encoding="utf-8"?>
<sst xmlns="http://schemas.openxmlformats.org/spreadsheetml/2006/main" count="66" uniqueCount="12">
  <si>
    <t>Vitesse vélo (km/h)</t>
  </si>
  <si>
    <t>F échan accel (Hz)</t>
  </si>
  <si>
    <t>1 tous les x mètres</t>
  </si>
  <si>
    <t>1 toutes les x secondes</t>
  </si>
  <si>
    <t>Vitesse vélo (m/s)</t>
  </si>
  <si>
    <t>Example point: 47.3902598,00.688932</t>
  </si>
  <si>
    <t>Accel -&gt; 16 bits -&gt; -32768 à 32767</t>
  </si>
  <si>
    <t>Taille carte SD (Go)</t>
  </si>
  <si>
    <t>Taille carte SD (bits)</t>
  </si>
  <si>
    <t>Exemple ligne dans fichier (taille max):  47.3902598,00.688932,32767 -&gt; 26 char -&gt; 208 bits</t>
  </si>
  <si>
    <t>Nb ligne</t>
  </si>
  <si>
    <t>Nb km enregistré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</si>
</sst>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/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1" fillId="0" borderId="10" xfId="0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3"/>
  <sheetViews>
    <sheetView tabSelected="1" topLeftCell="A28" workbookViewId="0">
      <selection activeCell="M39" sqref="M39"/>
    </sheetView>
  </sheetViews>
  <sheetFormatPr defaultRowHeight="15" x14ac:dyDescent="0.25"/>
  <cols>
    <col min="1" max="1" width="19.28515625" customWidth="1"/>
    <col min="2" max="2" width="18.85546875" customWidth="1"/>
    <col min="3" max="3" width="18" customWidth="1"/>
    <col min="4" max="4" width="24.85546875" customWidth="1"/>
    <col min="5" max="5" width="22.7109375" customWidth="1"/>
    <col min="6" max="6" width="4" customWidth="1"/>
    <col min="7" max="7" width="18.7109375" customWidth="1"/>
    <col min="8" max="8" width="20" customWidth="1"/>
    <col min="9" max="9" width="15.140625" customWidth="1"/>
    <col min="10" max="17" width="12.7109375" customWidth="1"/>
  </cols>
  <sheetData>
    <row r="1" spans="1:17" s="1" customFormat="1" x14ac:dyDescent="0.25">
      <c r="A1" s="14" t="s">
        <v>5</v>
      </c>
      <c r="B1" s="14"/>
      <c r="C1" s="15" t="s">
        <v>9</v>
      </c>
      <c r="D1" s="15"/>
      <c r="E1" s="15"/>
    </row>
    <row r="2" spans="1:17" s="2" customFormat="1" x14ac:dyDescent="0.25">
      <c r="A2" s="14" t="s">
        <v>6</v>
      </c>
      <c r="B2" s="14"/>
    </row>
    <row r="3" spans="1:17" s="2" customFormat="1" x14ac:dyDescent="0.25"/>
    <row r="4" spans="1:17" s="2" customFormat="1" x14ac:dyDescent="0.25"/>
    <row r="5" spans="1:17" s="2" customFormat="1" x14ac:dyDescent="0.25">
      <c r="A5" s="5" t="s">
        <v>0</v>
      </c>
      <c r="B5" s="6" t="s">
        <v>4</v>
      </c>
      <c r="C5" s="6" t="s">
        <v>1</v>
      </c>
      <c r="D5" s="6" t="s">
        <v>3</v>
      </c>
      <c r="E5" s="7" t="s">
        <v>2</v>
      </c>
      <c r="J5" s="16" t="s">
        <v>11</v>
      </c>
      <c r="K5" s="17"/>
      <c r="L5" s="17"/>
      <c r="M5" s="17"/>
      <c r="N5" s="17"/>
      <c r="O5" s="17"/>
      <c r="P5" s="17"/>
      <c r="Q5" s="18"/>
    </row>
    <row r="6" spans="1:17" s="2" customFormat="1" x14ac:dyDescent="0.25">
      <c r="A6" s="8">
        <v>5</v>
      </c>
      <c r="B6" s="11">
        <f xml:space="preserve"> (A6*1000)/3600</f>
        <v>1.3888888888888888</v>
      </c>
      <c r="C6" s="8">
        <v>1</v>
      </c>
      <c r="D6" s="3">
        <f>1/C6</f>
        <v>1</v>
      </c>
      <c r="E6" s="11">
        <f>B6/C6</f>
        <v>1.3888888888888888</v>
      </c>
      <c r="G6" s="20" t="s">
        <v>7</v>
      </c>
      <c r="H6" s="20" t="s">
        <v>8</v>
      </c>
      <c r="I6" s="20" t="s">
        <v>10</v>
      </c>
      <c r="J6" s="19">
        <v>5</v>
      </c>
      <c r="K6" s="19">
        <v>10</v>
      </c>
      <c r="L6" s="19">
        <v>15</v>
      </c>
      <c r="M6" s="19">
        <v>20</v>
      </c>
      <c r="N6" s="19">
        <v>25</v>
      </c>
      <c r="O6" s="19">
        <v>30</v>
      </c>
      <c r="P6" s="19">
        <v>35</v>
      </c>
      <c r="Q6" s="19">
        <v>40</v>
      </c>
    </row>
    <row r="7" spans="1:17" s="2" customFormat="1" x14ac:dyDescent="0.25">
      <c r="A7" s="9">
        <v>10</v>
      </c>
      <c r="B7" s="12">
        <f t="shared" ref="B7:B13" si="0" xml:space="preserve"> (A7*1000)/3600</f>
        <v>2.7777777777777777</v>
      </c>
      <c r="C7" s="9">
        <v>1</v>
      </c>
      <c r="D7" s="3">
        <f t="shared" ref="D7:D13" si="1">1/C7</f>
        <v>1</v>
      </c>
      <c r="E7" s="12">
        <f>B7/C7</f>
        <v>2.7777777777777777</v>
      </c>
      <c r="G7" s="9">
        <v>2</v>
      </c>
      <c r="H7" s="9">
        <f xml:space="preserve"> G7*1024*1024*1024*8</f>
        <v>17179869184</v>
      </c>
      <c r="I7" s="9">
        <f xml:space="preserve"> H7/208</f>
        <v>82595524.923076928</v>
      </c>
      <c r="J7" s="21">
        <f>E6*I7/1000</f>
        <v>114716.00683760685</v>
      </c>
      <c r="K7" s="21">
        <f>E7*I7/1000</f>
        <v>229432.0136752137</v>
      </c>
      <c r="L7" s="21">
        <f>E8*I7/1000</f>
        <v>344148.02051282057</v>
      </c>
      <c r="M7" s="21">
        <f>E9*I7/1000</f>
        <v>458864.02735042741</v>
      </c>
      <c r="N7" s="21">
        <f>E10*I7/1000</f>
        <v>573580.03418803413</v>
      </c>
      <c r="O7" s="21">
        <f>E11*I7/1000</f>
        <v>688296.04102564114</v>
      </c>
      <c r="P7" s="21">
        <f>E12*I7/1000</f>
        <v>803012.04786324792</v>
      </c>
      <c r="Q7" s="23">
        <f>E13*I7/1000</f>
        <v>917728.05470085482</v>
      </c>
    </row>
    <row r="8" spans="1:17" s="2" customFormat="1" x14ac:dyDescent="0.25">
      <c r="A8" s="9">
        <v>15</v>
      </c>
      <c r="B8" s="12">
        <f t="shared" si="0"/>
        <v>4.166666666666667</v>
      </c>
      <c r="C8" s="9">
        <v>1</v>
      </c>
      <c r="D8" s="3">
        <f t="shared" si="1"/>
        <v>1</v>
      </c>
      <c r="E8" s="12">
        <f>B8/C8</f>
        <v>4.166666666666667</v>
      </c>
      <c r="G8" s="9">
        <v>4</v>
      </c>
      <c r="H8" s="9">
        <f xml:space="preserve"> G8*1024*1024*1024*8</f>
        <v>34359738368</v>
      </c>
      <c r="I8" s="9">
        <f xml:space="preserve"> H8/208</f>
        <v>165191049.84615386</v>
      </c>
      <c r="J8" s="22">
        <f>J7*2</f>
        <v>229432.0136752137</v>
      </c>
      <c r="K8" s="22">
        <f t="shared" ref="K8:Q8" si="2">K7*2</f>
        <v>458864.02735042741</v>
      </c>
      <c r="L8" s="22">
        <f t="shared" si="2"/>
        <v>688296.04102564114</v>
      </c>
      <c r="M8" s="22">
        <f t="shared" si="2"/>
        <v>917728.05470085482</v>
      </c>
      <c r="N8" s="22">
        <f t="shared" si="2"/>
        <v>1147160.0683760683</v>
      </c>
      <c r="O8" s="22">
        <f t="shared" si="2"/>
        <v>1376592.0820512823</v>
      </c>
      <c r="P8" s="22">
        <f t="shared" si="2"/>
        <v>1606024.0957264958</v>
      </c>
      <c r="Q8" s="24">
        <f t="shared" si="2"/>
        <v>1835456.1094017096</v>
      </c>
    </row>
    <row r="9" spans="1:17" s="2" customFormat="1" x14ac:dyDescent="0.25">
      <c r="A9" s="9">
        <v>20</v>
      </c>
      <c r="B9" s="12">
        <f t="shared" si="0"/>
        <v>5.5555555555555554</v>
      </c>
      <c r="C9" s="9">
        <v>1</v>
      </c>
      <c r="D9" s="3">
        <f t="shared" si="1"/>
        <v>1</v>
      </c>
      <c r="E9" s="12">
        <f>B9/C9</f>
        <v>5.5555555555555554</v>
      </c>
      <c r="G9" s="9">
        <v>8</v>
      </c>
      <c r="H9" s="9">
        <f xml:space="preserve"> G9*1024*1024*1024*8</f>
        <v>68719476736</v>
      </c>
      <c r="I9" s="9">
        <f xml:space="preserve"> H9/208</f>
        <v>330382099.69230771</v>
      </c>
      <c r="J9" s="22">
        <f>J8*2</f>
        <v>458864.02735042741</v>
      </c>
      <c r="K9" s="22">
        <f t="shared" ref="K9:K13" si="3">K8*2</f>
        <v>917728.05470085482</v>
      </c>
      <c r="L9" s="22">
        <f t="shared" ref="L9:L13" si="4">L8*2</f>
        <v>1376592.0820512823</v>
      </c>
      <c r="M9" s="22">
        <f t="shared" ref="M9:M13" si="5">M8*2</f>
        <v>1835456.1094017096</v>
      </c>
      <c r="N9" s="22">
        <f t="shared" ref="N9:N13" si="6">N8*2</f>
        <v>2294320.1367521365</v>
      </c>
      <c r="O9" s="22">
        <f t="shared" ref="O9:O13" si="7">O8*2</f>
        <v>2753184.1641025646</v>
      </c>
      <c r="P9" s="22">
        <f t="shared" ref="P9:P13" si="8">P8*2</f>
        <v>3212048.1914529917</v>
      </c>
      <c r="Q9" s="24">
        <f t="shared" ref="Q9:Q13" si="9">Q8*2</f>
        <v>3670912.2188034193</v>
      </c>
    </row>
    <row r="10" spans="1:17" x14ac:dyDescent="0.25">
      <c r="A10" s="9">
        <v>25</v>
      </c>
      <c r="B10" s="12">
        <f t="shared" si="0"/>
        <v>6.9444444444444446</v>
      </c>
      <c r="C10" s="9">
        <v>1</v>
      </c>
      <c r="D10" s="3">
        <f t="shared" si="1"/>
        <v>1</v>
      </c>
      <c r="E10" s="12">
        <f>B10/C10</f>
        <v>6.9444444444444446</v>
      </c>
      <c r="G10" s="9">
        <v>16</v>
      </c>
      <c r="H10" s="9">
        <f xml:space="preserve"> G10*1024*1024*1024*8</f>
        <v>137438953472</v>
      </c>
      <c r="I10" s="9">
        <f xml:space="preserve"> H10/208</f>
        <v>660764199.38461542</v>
      </c>
      <c r="J10" s="22">
        <f>J9*2</f>
        <v>917728.05470085482</v>
      </c>
      <c r="K10" s="22">
        <f t="shared" si="3"/>
        <v>1835456.1094017096</v>
      </c>
      <c r="L10" s="22">
        <f t="shared" si="4"/>
        <v>2753184.1641025646</v>
      </c>
      <c r="M10" s="22">
        <f t="shared" si="5"/>
        <v>3670912.2188034193</v>
      </c>
      <c r="N10" s="22">
        <f t="shared" si="6"/>
        <v>4588640.273504273</v>
      </c>
      <c r="O10" s="22">
        <f t="shared" si="7"/>
        <v>5506368.3282051291</v>
      </c>
      <c r="P10" s="22">
        <f t="shared" si="8"/>
        <v>6424096.3829059834</v>
      </c>
      <c r="Q10" s="24">
        <f t="shared" si="9"/>
        <v>7341824.4376068385</v>
      </c>
    </row>
    <row r="11" spans="1:17" x14ac:dyDescent="0.25">
      <c r="A11" s="9">
        <v>30</v>
      </c>
      <c r="B11" s="12">
        <f t="shared" si="0"/>
        <v>8.3333333333333339</v>
      </c>
      <c r="C11" s="9">
        <v>1</v>
      </c>
      <c r="D11" s="3">
        <f t="shared" si="1"/>
        <v>1</v>
      </c>
      <c r="E11" s="12">
        <f>B11/C11</f>
        <v>8.3333333333333339</v>
      </c>
      <c r="G11" s="9">
        <v>32</v>
      </c>
      <c r="H11" s="9">
        <f xml:space="preserve"> G11*1024*1024*1024*8</f>
        <v>274877906944</v>
      </c>
      <c r="I11" s="9">
        <f xml:space="preserve"> H11/208</f>
        <v>1321528398.7692308</v>
      </c>
      <c r="J11" s="22">
        <f>J10*2</f>
        <v>1835456.1094017096</v>
      </c>
      <c r="K11" s="22">
        <f t="shared" si="3"/>
        <v>3670912.2188034193</v>
      </c>
      <c r="L11" s="22">
        <f t="shared" si="4"/>
        <v>5506368.3282051291</v>
      </c>
      <c r="M11" s="22">
        <f t="shared" si="5"/>
        <v>7341824.4376068385</v>
      </c>
      <c r="N11" s="22">
        <f t="shared" si="6"/>
        <v>9177280.5470085461</v>
      </c>
      <c r="O11" s="22">
        <f t="shared" si="7"/>
        <v>11012736.656410258</v>
      </c>
      <c r="P11" s="22">
        <f t="shared" si="8"/>
        <v>12848192.765811967</v>
      </c>
      <c r="Q11" s="24">
        <f t="shared" si="9"/>
        <v>14683648.875213677</v>
      </c>
    </row>
    <row r="12" spans="1:17" x14ac:dyDescent="0.25">
      <c r="A12" s="9">
        <v>35</v>
      </c>
      <c r="B12" s="12">
        <f t="shared" si="0"/>
        <v>9.7222222222222214</v>
      </c>
      <c r="C12" s="9">
        <v>1</v>
      </c>
      <c r="D12" s="3">
        <f t="shared" si="1"/>
        <v>1</v>
      </c>
      <c r="E12" s="12">
        <f>B12/C12</f>
        <v>9.7222222222222214</v>
      </c>
      <c r="G12" s="9">
        <v>64</v>
      </c>
      <c r="H12" s="9">
        <f xml:space="preserve"> G12*1024*1024*1024*8</f>
        <v>549755813888</v>
      </c>
      <c r="I12" s="9">
        <f xml:space="preserve"> H12/208</f>
        <v>2643056797.5384617</v>
      </c>
      <c r="J12" s="22">
        <f>J11*2</f>
        <v>3670912.2188034193</v>
      </c>
      <c r="K12" s="22">
        <f t="shared" si="3"/>
        <v>7341824.4376068385</v>
      </c>
      <c r="L12" s="22">
        <f t="shared" si="4"/>
        <v>11012736.656410258</v>
      </c>
      <c r="M12" s="22">
        <f t="shared" si="5"/>
        <v>14683648.875213677</v>
      </c>
      <c r="N12" s="22">
        <f t="shared" si="6"/>
        <v>18354561.094017092</v>
      </c>
      <c r="O12" s="22">
        <f t="shared" si="7"/>
        <v>22025473.312820517</v>
      </c>
      <c r="P12" s="22">
        <f t="shared" si="8"/>
        <v>25696385.531623933</v>
      </c>
      <c r="Q12" s="24">
        <f t="shared" si="9"/>
        <v>29367297.750427354</v>
      </c>
    </row>
    <row r="13" spans="1:17" x14ac:dyDescent="0.25">
      <c r="A13" s="10">
        <v>40</v>
      </c>
      <c r="B13" s="13">
        <f t="shared" si="0"/>
        <v>11.111111111111111</v>
      </c>
      <c r="C13" s="10">
        <v>1</v>
      </c>
      <c r="D13" s="4">
        <f t="shared" si="1"/>
        <v>1</v>
      </c>
      <c r="E13" s="13">
        <f>B13/C13</f>
        <v>11.111111111111111</v>
      </c>
      <c r="G13" s="10">
        <v>128</v>
      </c>
      <c r="H13" s="10">
        <f xml:space="preserve"> G13*1024*1024*1024*8</f>
        <v>1099511627776</v>
      </c>
      <c r="I13" s="10">
        <f xml:space="preserve"> H13/208</f>
        <v>5286113595.0769234</v>
      </c>
      <c r="J13" s="25">
        <f>J12*2</f>
        <v>7341824.4376068385</v>
      </c>
      <c r="K13" s="25">
        <f t="shared" si="3"/>
        <v>14683648.875213677</v>
      </c>
      <c r="L13" s="25">
        <f t="shared" si="4"/>
        <v>22025473.312820517</v>
      </c>
      <c r="M13" s="25">
        <f t="shared" si="5"/>
        <v>29367297.750427354</v>
      </c>
      <c r="N13" s="25">
        <f t="shared" si="6"/>
        <v>36709122.188034184</v>
      </c>
      <c r="O13" s="25">
        <f t="shared" si="7"/>
        <v>44050946.625641033</v>
      </c>
      <c r="P13" s="25">
        <f t="shared" si="8"/>
        <v>51392771.063247867</v>
      </c>
      <c r="Q13" s="26">
        <f t="shared" si="9"/>
        <v>58734595.500854708</v>
      </c>
    </row>
    <row r="15" spans="1:17" x14ac:dyDescent="0.25">
      <c r="A15" s="5" t="s">
        <v>0</v>
      </c>
      <c r="B15" s="6" t="s">
        <v>4</v>
      </c>
      <c r="C15" s="6" t="s">
        <v>1</v>
      </c>
      <c r="D15" s="6" t="s">
        <v>3</v>
      </c>
      <c r="E15" s="7" t="s">
        <v>2</v>
      </c>
      <c r="G15" s="2"/>
      <c r="H15" s="2"/>
      <c r="I15" s="2"/>
      <c r="J15" s="16" t="s">
        <v>11</v>
      </c>
      <c r="K15" s="17"/>
      <c r="L15" s="17"/>
      <c r="M15" s="17"/>
      <c r="N15" s="17"/>
      <c r="O15" s="17"/>
      <c r="P15" s="17"/>
      <c r="Q15" s="18"/>
    </row>
    <row r="16" spans="1:17" x14ac:dyDescent="0.25">
      <c r="A16" s="8">
        <v>5</v>
      </c>
      <c r="B16" s="11">
        <f xml:space="preserve"> (A16*1000)/3600</f>
        <v>1.3888888888888888</v>
      </c>
      <c r="C16" s="8">
        <v>5</v>
      </c>
      <c r="D16" s="3">
        <f>1/C16</f>
        <v>0.2</v>
      </c>
      <c r="E16" s="11">
        <f>B16/C16</f>
        <v>0.27777777777777779</v>
      </c>
      <c r="G16" s="20" t="s">
        <v>7</v>
      </c>
      <c r="H16" s="20" t="s">
        <v>8</v>
      </c>
      <c r="I16" s="20" t="s">
        <v>10</v>
      </c>
      <c r="J16" s="19">
        <v>5</v>
      </c>
      <c r="K16" s="19">
        <v>10</v>
      </c>
      <c r="L16" s="19">
        <v>15</v>
      </c>
      <c r="M16" s="19">
        <v>20</v>
      </c>
      <c r="N16" s="19">
        <v>25</v>
      </c>
      <c r="O16" s="19">
        <v>30</v>
      </c>
      <c r="P16" s="19">
        <v>35</v>
      </c>
      <c r="Q16" s="19">
        <v>40</v>
      </c>
    </row>
    <row r="17" spans="1:17" x14ac:dyDescent="0.25">
      <c r="A17" s="9">
        <v>10</v>
      </c>
      <c r="B17" s="12">
        <f t="shared" ref="B17:B23" si="10" xml:space="preserve"> (A17*1000)/3600</f>
        <v>2.7777777777777777</v>
      </c>
      <c r="C17" s="9">
        <v>5</v>
      </c>
      <c r="D17" s="3">
        <f t="shared" ref="D17:D23" si="11">1/C17</f>
        <v>0.2</v>
      </c>
      <c r="E17" s="12">
        <f>B17/C17</f>
        <v>0.55555555555555558</v>
      </c>
      <c r="G17" s="9">
        <v>2</v>
      </c>
      <c r="H17" s="9">
        <f xml:space="preserve"> G17*1024*1024*1024*8</f>
        <v>17179869184</v>
      </c>
      <c r="I17" s="9">
        <f xml:space="preserve"> H17/208</f>
        <v>82595524.923076928</v>
      </c>
      <c r="J17" s="21">
        <f>E16*I17/1000</f>
        <v>22943.201367521368</v>
      </c>
      <c r="K17" s="21">
        <f>E17*I17/1000</f>
        <v>45886.402735042735</v>
      </c>
      <c r="L17" s="21">
        <f>E18*I17/1000</f>
        <v>68829.604102564117</v>
      </c>
      <c r="M17" s="21">
        <f>E19*I17/1000</f>
        <v>91772.80547008547</v>
      </c>
      <c r="N17" s="21">
        <f>E20*I17/1000</f>
        <v>114716.00683760685</v>
      </c>
      <c r="O17" s="21">
        <f>E21*I17/1000</f>
        <v>137659.20820512823</v>
      </c>
      <c r="P17" s="21">
        <f>E22*I17/1000</f>
        <v>160602.40957264957</v>
      </c>
      <c r="Q17" s="23">
        <f>E23*I17/1000</f>
        <v>183545.61094017094</v>
      </c>
    </row>
    <row r="18" spans="1:17" x14ac:dyDescent="0.25">
      <c r="A18" s="9">
        <v>15</v>
      </c>
      <c r="B18" s="12">
        <f t="shared" si="10"/>
        <v>4.166666666666667</v>
      </c>
      <c r="C18" s="9">
        <v>5</v>
      </c>
      <c r="D18" s="3">
        <f t="shared" si="11"/>
        <v>0.2</v>
      </c>
      <c r="E18" s="12">
        <f>B18/C18</f>
        <v>0.83333333333333337</v>
      </c>
      <c r="G18" s="9">
        <v>4</v>
      </c>
      <c r="H18" s="9">
        <f xml:space="preserve"> G18*1024*1024*1024*8</f>
        <v>34359738368</v>
      </c>
      <c r="I18" s="9">
        <f xml:space="preserve"> H18/208</f>
        <v>165191049.84615386</v>
      </c>
      <c r="J18" s="22">
        <f>J17*2</f>
        <v>45886.402735042735</v>
      </c>
      <c r="K18" s="22">
        <f t="shared" ref="K18:K23" si="12">K17*2</f>
        <v>91772.80547008547</v>
      </c>
      <c r="L18" s="22">
        <f t="shared" ref="L18:L23" si="13">L17*2</f>
        <v>137659.20820512823</v>
      </c>
      <c r="M18" s="22">
        <f t="shared" ref="M18:M23" si="14">M17*2</f>
        <v>183545.61094017094</v>
      </c>
      <c r="N18" s="22">
        <f t="shared" ref="N18:N23" si="15">N17*2</f>
        <v>229432.0136752137</v>
      </c>
      <c r="O18" s="22">
        <f t="shared" ref="O18:O23" si="16">O17*2</f>
        <v>275318.41641025647</v>
      </c>
      <c r="P18" s="22">
        <f t="shared" ref="P18:P23" si="17">P17*2</f>
        <v>321204.81914529915</v>
      </c>
      <c r="Q18" s="24">
        <f t="shared" ref="Q18:Q23" si="18">Q17*2</f>
        <v>367091.22188034188</v>
      </c>
    </row>
    <row r="19" spans="1:17" x14ac:dyDescent="0.25">
      <c r="A19" s="9">
        <v>20</v>
      </c>
      <c r="B19" s="12">
        <f t="shared" si="10"/>
        <v>5.5555555555555554</v>
      </c>
      <c r="C19" s="9">
        <v>5</v>
      </c>
      <c r="D19" s="3">
        <f t="shared" si="11"/>
        <v>0.2</v>
      </c>
      <c r="E19" s="12">
        <f>B19/C19</f>
        <v>1.1111111111111112</v>
      </c>
      <c r="G19" s="9">
        <v>8</v>
      </c>
      <c r="H19" s="9">
        <f xml:space="preserve"> G19*1024*1024*1024*8</f>
        <v>68719476736</v>
      </c>
      <c r="I19" s="9">
        <f xml:space="preserve"> H19/208</f>
        <v>330382099.69230771</v>
      </c>
      <c r="J19" s="22">
        <f>J18*2</f>
        <v>91772.80547008547</v>
      </c>
      <c r="K19" s="22">
        <f t="shared" si="12"/>
        <v>183545.61094017094</v>
      </c>
      <c r="L19" s="22">
        <f t="shared" si="13"/>
        <v>275318.41641025647</v>
      </c>
      <c r="M19" s="22">
        <f t="shared" si="14"/>
        <v>367091.22188034188</v>
      </c>
      <c r="N19" s="22">
        <f t="shared" si="15"/>
        <v>458864.02735042741</v>
      </c>
      <c r="O19" s="22">
        <f t="shared" si="16"/>
        <v>550636.83282051294</v>
      </c>
      <c r="P19" s="22">
        <f t="shared" si="17"/>
        <v>642409.63829059829</v>
      </c>
      <c r="Q19" s="24">
        <f t="shared" si="18"/>
        <v>734182.44376068376</v>
      </c>
    </row>
    <row r="20" spans="1:17" x14ac:dyDescent="0.25">
      <c r="A20" s="9">
        <v>25</v>
      </c>
      <c r="B20" s="12">
        <f t="shared" si="10"/>
        <v>6.9444444444444446</v>
      </c>
      <c r="C20" s="9">
        <v>5</v>
      </c>
      <c r="D20" s="3">
        <f t="shared" si="11"/>
        <v>0.2</v>
      </c>
      <c r="E20" s="12">
        <f>B20/C20</f>
        <v>1.3888888888888888</v>
      </c>
      <c r="G20" s="9">
        <v>16</v>
      </c>
      <c r="H20" s="9">
        <f xml:space="preserve"> G20*1024*1024*1024*8</f>
        <v>137438953472</v>
      </c>
      <c r="I20" s="9">
        <f xml:space="preserve"> H20/208</f>
        <v>660764199.38461542</v>
      </c>
      <c r="J20" s="22">
        <f>J19*2</f>
        <v>183545.61094017094</v>
      </c>
      <c r="K20" s="22">
        <f t="shared" si="12"/>
        <v>367091.22188034188</v>
      </c>
      <c r="L20" s="22">
        <f t="shared" si="13"/>
        <v>550636.83282051294</v>
      </c>
      <c r="M20" s="22">
        <f t="shared" si="14"/>
        <v>734182.44376068376</v>
      </c>
      <c r="N20" s="22">
        <f t="shared" si="15"/>
        <v>917728.05470085482</v>
      </c>
      <c r="O20" s="22">
        <f t="shared" si="16"/>
        <v>1101273.6656410259</v>
      </c>
      <c r="P20" s="22">
        <f t="shared" si="17"/>
        <v>1284819.2765811966</v>
      </c>
      <c r="Q20" s="24">
        <f t="shared" si="18"/>
        <v>1468364.8875213675</v>
      </c>
    </row>
    <row r="21" spans="1:17" x14ac:dyDescent="0.25">
      <c r="A21" s="9">
        <v>30</v>
      </c>
      <c r="B21" s="12">
        <f t="shared" si="10"/>
        <v>8.3333333333333339</v>
      </c>
      <c r="C21" s="9">
        <v>5</v>
      </c>
      <c r="D21" s="3">
        <f t="shared" si="11"/>
        <v>0.2</v>
      </c>
      <c r="E21" s="12">
        <f>B21/C21</f>
        <v>1.6666666666666667</v>
      </c>
      <c r="G21" s="9">
        <v>32</v>
      </c>
      <c r="H21" s="9">
        <f xml:space="preserve"> G21*1024*1024*1024*8</f>
        <v>274877906944</v>
      </c>
      <c r="I21" s="9">
        <f xml:space="preserve"> H21/208</f>
        <v>1321528398.7692308</v>
      </c>
      <c r="J21" s="22">
        <f>J20*2</f>
        <v>367091.22188034188</v>
      </c>
      <c r="K21" s="22">
        <f t="shared" si="12"/>
        <v>734182.44376068376</v>
      </c>
      <c r="L21" s="22">
        <f t="shared" si="13"/>
        <v>1101273.6656410259</v>
      </c>
      <c r="M21" s="22">
        <f t="shared" si="14"/>
        <v>1468364.8875213675</v>
      </c>
      <c r="N21" s="22">
        <f t="shared" si="15"/>
        <v>1835456.1094017096</v>
      </c>
      <c r="O21" s="22">
        <f t="shared" si="16"/>
        <v>2202547.3312820517</v>
      </c>
      <c r="P21" s="22">
        <f t="shared" si="17"/>
        <v>2569638.5531623932</v>
      </c>
      <c r="Q21" s="24">
        <f t="shared" si="18"/>
        <v>2936729.775042735</v>
      </c>
    </row>
    <row r="22" spans="1:17" x14ac:dyDescent="0.25">
      <c r="A22" s="9">
        <v>35</v>
      </c>
      <c r="B22" s="12">
        <f t="shared" si="10"/>
        <v>9.7222222222222214</v>
      </c>
      <c r="C22" s="9">
        <v>5</v>
      </c>
      <c r="D22" s="3">
        <f t="shared" si="11"/>
        <v>0.2</v>
      </c>
      <c r="E22" s="12">
        <f>B22/C22</f>
        <v>1.9444444444444442</v>
      </c>
      <c r="G22" s="9">
        <v>64</v>
      </c>
      <c r="H22" s="9">
        <f xml:space="preserve"> G22*1024*1024*1024*8</f>
        <v>549755813888</v>
      </c>
      <c r="I22" s="9">
        <f xml:space="preserve"> H22/208</f>
        <v>2643056797.5384617</v>
      </c>
      <c r="J22" s="22">
        <f>J21*2</f>
        <v>734182.44376068376</v>
      </c>
      <c r="K22" s="22">
        <f t="shared" si="12"/>
        <v>1468364.8875213675</v>
      </c>
      <c r="L22" s="22">
        <f t="shared" si="13"/>
        <v>2202547.3312820517</v>
      </c>
      <c r="M22" s="22">
        <f t="shared" si="14"/>
        <v>2936729.775042735</v>
      </c>
      <c r="N22" s="22">
        <f t="shared" si="15"/>
        <v>3670912.2188034193</v>
      </c>
      <c r="O22" s="22">
        <f t="shared" si="16"/>
        <v>4405094.6625641035</v>
      </c>
      <c r="P22" s="22">
        <f t="shared" si="17"/>
        <v>5139277.1063247863</v>
      </c>
      <c r="Q22" s="24">
        <f t="shared" si="18"/>
        <v>5873459.5500854701</v>
      </c>
    </row>
    <row r="23" spans="1:17" x14ac:dyDescent="0.25">
      <c r="A23" s="10">
        <v>40</v>
      </c>
      <c r="B23" s="13">
        <f t="shared" si="10"/>
        <v>11.111111111111111</v>
      </c>
      <c r="C23" s="10">
        <v>5</v>
      </c>
      <c r="D23" s="4">
        <f t="shared" si="11"/>
        <v>0.2</v>
      </c>
      <c r="E23" s="13">
        <f>B23/C23</f>
        <v>2.2222222222222223</v>
      </c>
      <c r="G23" s="10">
        <v>128</v>
      </c>
      <c r="H23" s="10">
        <f xml:space="preserve"> G23*1024*1024*1024*8</f>
        <v>1099511627776</v>
      </c>
      <c r="I23" s="10">
        <f xml:space="preserve"> H23/208</f>
        <v>5286113595.0769234</v>
      </c>
      <c r="J23" s="25">
        <f>J22*2</f>
        <v>1468364.8875213675</v>
      </c>
      <c r="K23" s="25">
        <f t="shared" si="12"/>
        <v>2936729.775042735</v>
      </c>
      <c r="L23" s="25">
        <f t="shared" si="13"/>
        <v>4405094.6625641035</v>
      </c>
      <c r="M23" s="25">
        <f t="shared" si="14"/>
        <v>5873459.5500854701</v>
      </c>
      <c r="N23" s="25">
        <f t="shared" si="15"/>
        <v>7341824.4376068385</v>
      </c>
      <c r="O23" s="25">
        <f t="shared" si="16"/>
        <v>8810189.325128207</v>
      </c>
      <c r="P23" s="25">
        <f t="shared" si="17"/>
        <v>10278554.212649573</v>
      </c>
      <c r="Q23" s="26">
        <f t="shared" si="18"/>
        <v>11746919.10017094</v>
      </c>
    </row>
    <row r="25" spans="1:17" x14ac:dyDescent="0.25">
      <c r="A25" s="5" t="s">
        <v>0</v>
      </c>
      <c r="B25" s="6" t="s">
        <v>4</v>
      </c>
      <c r="C25" s="6" t="s">
        <v>1</v>
      </c>
      <c r="D25" s="6" t="s">
        <v>3</v>
      </c>
      <c r="E25" s="7" t="s">
        <v>2</v>
      </c>
      <c r="G25" s="2"/>
      <c r="H25" s="2"/>
      <c r="I25" s="2"/>
      <c r="J25" s="16" t="s">
        <v>11</v>
      </c>
      <c r="K25" s="17"/>
      <c r="L25" s="17"/>
      <c r="M25" s="17"/>
      <c r="N25" s="17"/>
      <c r="O25" s="17"/>
      <c r="P25" s="17"/>
      <c r="Q25" s="18"/>
    </row>
    <row r="26" spans="1:17" x14ac:dyDescent="0.25">
      <c r="A26" s="8">
        <v>5</v>
      </c>
      <c r="B26" s="11">
        <f xml:space="preserve"> (A26*1000)/3600</f>
        <v>1.3888888888888888</v>
      </c>
      <c r="C26" s="8">
        <v>10</v>
      </c>
      <c r="D26" s="3">
        <f>1/C26</f>
        <v>0.1</v>
      </c>
      <c r="E26" s="11">
        <f>B26/C26</f>
        <v>0.1388888888888889</v>
      </c>
      <c r="G26" s="20" t="s">
        <v>7</v>
      </c>
      <c r="H26" s="20" t="s">
        <v>8</v>
      </c>
      <c r="I26" s="20" t="s">
        <v>10</v>
      </c>
      <c r="J26" s="19">
        <v>5</v>
      </c>
      <c r="K26" s="19">
        <v>10</v>
      </c>
      <c r="L26" s="19">
        <v>15</v>
      </c>
      <c r="M26" s="19">
        <v>20</v>
      </c>
      <c r="N26" s="19">
        <v>25</v>
      </c>
      <c r="O26" s="19">
        <v>30</v>
      </c>
      <c r="P26" s="19">
        <v>35</v>
      </c>
      <c r="Q26" s="19">
        <v>40</v>
      </c>
    </row>
    <row r="27" spans="1:17" x14ac:dyDescent="0.25">
      <c r="A27" s="9">
        <v>10</v>
      </c>
      <c r="B27" s="12">
        <f t="shared" ref="B27:B33" si="19" xml:space="preserve"> (A27*1000)/3600</f>
        <v>2.7777777777777777</v>
      </c>
      <c r="C27" s="9">
        <v>10</v>
      </c>
      <c r="D27" s="3">
        <f t="shared" ref="D27:D33" si="20">1/C27</f>
        <v>0.1</v>
      </c>
      <c r="E27" s="12">
        <f>B27/C27</f>
        <v>0.27777777777777779</v>
      </c>
      <c r="G27" s="9">
        <v>2</v>
      </c>
      <c r="H27" s="9">
        <f xml:space="preserve"> G27*1024*1024*1024*8</f>
        <v>17179869184</v>
      </c>
      <c r="I27" s="9">
        <f xml:space="preserve"> H27/208</f>
        <v>82595524.923076928</v>
      </c>
      <c r="J27" s="21">
        <f>E26*I27/1000</f>
        <v>11471.600683760684</v>
      </c>
      <c r="K27" s="21">
        <f>E27*I27/1000</f>
        <v>22943.201367521368</v>
      </c>
      <c r="L27" s="21">
        <f>E28*I27/1000</f>
        <v>34414.802051282059</v>
      </c>
      <c r="M27" s="21">
        <f>E29*I27/1000</f>
        <v>45886.402735042735</v>
      </c>
      <c r="N27" s="21">
        <f>E30*I27/1000</f>
        <v>57358.003418803426</v>
      </c>
      <c r="O27" s="21">
        <f>E31*I27/1000</f>
        <v>68829.604102564117</v>
      </c>
      <c r="P27" s="21">
        <f>E32*I27/1000</f>
        <v>80301.204786324786</v>
      </c>
      <c r="Q27" s="23">
        <f>E33*I27/1000</f>
        <v>91772.80547008547</v>
      </c>
    </row>
    <row r="28" spans="1:17" x14ac:dyDescent="0.25">
      <c r="A28" s="9">
        <v>15</v>
      </c>
      <c r="B28" s="12">
        <f t="shared" si="19"/>
        <v>4.166666666666667</v>
      </c>
      <c r="C28" s="9">
        <v>10</v>
      </c>
      <c r="D28" s="3">
        <f t="shared" si="20"/>
        <v>0.1</v>
      </c>
      <c r="E28" s="12">
        <f>B28/C28</f>
        <v>0.41666666666666669</v>
      </c>
      <c r="G28" s="9">
        <v>4</v>
      </c>
      <c r="H28" s="9">
        <f xml:space="preserve"> G28*1024*1024*1024*8</f>
        <v>34359738368</v>
      </c>
      <c r="I28" s="9">
        <f xml:space="preserve"> H28/208</f>
        <v>165191049.84615386</v>
      </c>
      <c r="J28" s="22">
        <f>J27*2</f>
        <v>22943.201367521368</v>
      </c>
      <c r="K28" s="22">
        <f t="shared" ref="K28:K33" si="21">K27*2</f>
        <v>45886.402735042735</v>
      </c>
      <c r="L28" s="22">
        <f t="shared" ref="L28:L33" si="22">L27*2</f>
        <v>68829.604102564117</v>
      </c>
      <c r="M28" s="22">
        <f t="shared" ref="M28:M33" si="23">M27*2</f>
        <v>91772.80547008547</v>
      </c>
      <c r="N28" s="22">
        <f t="shared" ref="N28:N33" si="24">N27*2</f>
        <v>114716.00683760685</v>
      </c>
      <c r="O28" s="22">
        <f t="shared" ref="O28:O33" si="25">O27*2</f>
        <v>137659.20820512823</v>
      </c>
      <c r="P28" s="22">
        <f t="shared" ref="P28:P33" si="26">P27*2</f>
        <v>160602.40957264957</v>
      </c>
      <c r="Q28" s="24">
        <f t="shared" ref="Q28:Q33" si="27">Q27*2</f>
        <v>183545.61094017094</v>
      </c>
    </row>
    <row r="29" spans="1:17" x14ac:dyDescent="0.25">
      <c r="A29" s="9">
        <v>20</v>
      </c>
      <c r="B29" s="12">
        <f t="shared" si="19"/>
        <v>5.5555555555555554</v>
      </c>
      <c r="C29" s="9">
        <v>10</v>
      </c>
      <c r="D29" s="3">
        <f t="shared" si="20"/>
        <v>0.1</v>
      </c>
      <c r="E29" s="12">
        <f>B29/C29</f>
        <v>0.55555555555555558</v>
      </c>
      <c r="G29" s="9">
        <v>8</v>
      </c>
      <c r="H29" s="9">
        <f xml:space="preserve"> G29*1024*1024*1024*8</f>
        <v>68719476736</v>
      </c>
      <c r="I29" s="9">
        <f xml:space="preserve"> H29/208</f>
        <v>330382099.69230771</v>
      </c>
      <c r="J29" s="22">
        <f>J28*2</f>
        <v>45886.402735042735</v>
      </c>
      <c r="K29" s="22">
        <f t="shared" si="21"/>
        <v>91772.80547008547</v>
      </c>
      <c r="L29" s="22">
        <f t="shared" si="22"/>
        <v>137659.20820512823</v>
      </c>
      <c r="M29" s="22">
        <f t="shared" si="23"/>
        <v>183545.61094017094</v>
      </c>
      <c r="N29" s="22">
        <f t="shared" si="24"/>
        <v>229432.0136752137</v>
      </c>
      <c r="O29" s="22">
        <f t="shared" si="25"/>
        <v>275318.41641025647</v>
      </c>
      <c r="P29" s="22">
        <f t="shared" si="26"/>
        <v>321204.81914529915</v>
      </c>
      <c r="Q29" s="24">
        <f t="shared" si="27"/>
        <v>367091.22188034188</v>
      </c>
    </row>
    <row r="30" spans="1:17" x14ac:dyDescent="0.25">
      <c r="A30" s="9">
        <v>25</v>
      </c>
      <c r="B30" s="12">
        <f t="shared" si="19"/>
        <v>6.9444444444444446</v>
      </c>
      <c r="C30" s="9">
        <v>10</v>
      </c>
      <c r="D30" s="3">
        <f t="shared" si="20"/>
        <v>0.1</v>
      </c>
      <c r="E30" s="12">
        <f>B30/C30</f>
        <v>0.69444444444444442</v>
      </c>
      <c r="G30" s="9">
        <v>16</v>
      </c>
      <c r="H30" s="9">
        <f xml:space="preserve"> G30*1024*1024*1024*8</f>
        <v>137438953472</v>
      </c>
      <c r="I30" s="9">
        <f xml:space="preserve"> H30/208</f>
        <v>660764199.38461542</v>
      </c>
      <c r="J30" s="22">
        <f>J29*2</f>
        <v>91772.80547008547</v>
      </c>
      <c r="K30" s="22">
        <f t="shared" si="21"/>
        <v>183545.61094017094</v>
      </c>
      <c r="L30" s="22">
        <f t="shared" si="22"/>
        <v>275318.41641025647</v>
      </c>
      <c r="M30" s="22">
        <f t="shared" si="23"/>
        <v>367091.22188034188</v>
      </c>
      <c r="N30" s="22">
        <f t="shared" si="24"/>
        <v>458864.02735042741</v>
      </c>
      <c r="O30" s="22">
        <f t="shared" si="25"/>
        <v>550636.83282051294</v>
      </c>
      <c r="P30" s="22">
        <f t="shared" si="26"/>
        <v>642409.63829059829</v>
      </c>
      <c r="Q30" s="24">
        <f t="shared" si="27"/>
        <v>734182.44376068376</v>
      </c>
    </row>
    <row r="31" spans="1:17" x14ac:dyDescent="0.25">
      <c r="A31" s="9">
        <v>30</v>
      </c>
      <c r="B31" s="12">
        <f t="shared" si="19"/>
        <v>8.3333333333333339</v>
      </c>
      <c r="C31" s="9">
        <v>10</v>
      </c>
      <c r="D31" s="3">
        <f t="shared" si="20"/>
        <v>0.1</v>
      </c>
      <c r="E31" s="12">
        <f>B31/C31</f>
        <v>0.83333333333333337</v>
      </c>
      <c r="G31" s="9">
        <v>32</v>
      </c>
      <c r="H31" s="9">
        <f xml:space="preserve"> G31*1024*1024*1024*8</f>
        <v>274877906944</v>
      </c>
      <c r="I31" s="9">
        <f xml:space="preserve"> H31/208</f>
        <v>1321528398.7692308</v>
      </c>
      <c r="J31" s="22">
        <f>J30*2</f>
        <v>183545.61094017094</v>
      </c>
      <c r="K31" s="22">
        <f t="shared" si="21"/>
        <v>367091.22188034188</v>
      </c>
      <c r="L31" s="22">
        <f t="shared" si="22"/>
        <v>550636.83282051294</v>
      </c>
      <c r="M31" s="22">
        <f t="shared" si="23"/>
        <v>734182.44376068376</v>
      </c>
      <c r="N31" s="22">
        <f t="shared" si="24"/>
        <v>917728.05470085482</v>
      </c>
      <c r="O31" s="22">
        <f t="shared" si="25"/>
        <v>1101273.6656410259</v>
      </c>
      <c r="P31" s="22">
        <f t="shared" si="26"/>
        <v>1284819.2765811966</v>
      </c>
      <c r="Q31" s="24">
        <f t="shared" si="27"/>
        <v>1468364.8875213675</v>
      </c>
    </row>
    <row r="32" spans="1:17" x14ac:dyDescent="0.25">
      <c r="A32" s="9">
        <v>35</v>
      </c>
      <c r="B32" s="12">
        <f t="shared" si="19"/>
        <v>9.7222222222222214</v>
      </c>
      <c r="C32" s="9">
        <v>10</v>
      </c>
      <c r="D32" s="3">
        <f t="shared" si="20"/>
        <v>0.1</v>
      </c>
      <c r="E32" s="12">
        <f>B32/C32</f>
        <v>0.9722222222222221</v>
      </c>
      <c r="G32" s="9">
        <v>64</v>
      </c>
      <c r="H32" s="9">
        <f xml:space="preserve"> G32*1024*1024*1024*8</f>
        <v>549755813888</v>
      </c>
      <c r="I32" s="9">
        <f xml:space="preserve"> H32/208</f>
        <v>2643056797.5384617</v>
      </c>
      <c r="J32" s="22">
        <f>J31*2</f>
        <v>367091.22188034188</v>
      </c>
      <c r="K32" s="22">
        <f t="shared" si="21"/>
        <v>734182.44376068376</v>
      </c>
      <c r="L32" s="22">
        <f t="shared" si="22"/>
        <v>1101273.6656410259</v>
      </c>
      <c r="M32" s="22">
        <f t="shared" si="23"/>
        <v>1468364.8875213675</v>
      </c>
      <c r="N32" s="22">
        <f t="shared" si="24"/>
        <v>1835456.1094017096</v>
      </c>
      <c r="O32" s="22">
        <f t="shared" si="25"/>
        <v>2202547.3312820517</v>
      </c>
      <c r="P32" s="22">
        <f t="shared" si="26"/>
        <v>2569638.5531623932</v>
      </c>
      <c r="Q32" s="24">
        <f t="shared" si="27"/>
        <v>2936729.775042735</v>
      </c>
    </row>
    <row r="33" spans="1:17" x14ac:dyDescent="0.25">
      <c r="A33" s="10">
        <v>40</v>
      </c>
      <c r="B33" s="13">
        <f t="shared" si="19"/>
        <v>11.111111111111111</v>
      </c>
      <c r="C33" s="10">
        <v>10</v>
      </c>
      <c r="D33" s="4">
        <f t="shared" si="20"/>
        <v>0.1</v>
      </c>
      <c r="E33" s="13">
        <f>B33/C33</f>
        <v>1.1111111111111112</v>
      </c>
      <c r="G33" s="10">
        <v>128</v>
      </c>
      <c r="H33" s="10">
        <f xml:space="preserve"> G33*1024*1024*1024*8</f>
        <v>1099511627776</v>
      </c>
      <c r="I33" s="10">
        <f xml:space="preserve"> H33/208</f>
        <v>5286113595.0769234</v>
      </c>
      <c r="J33" s="25">
        <f>J32*2</f>
        <v>734182.44376068376</v>
      </c>
      <c r="K33" s="25">
        <f t="shared" si="21"/>
        <v>1468364.8875213675</v>
      </c>
      <c r="L33" s="25">
        <f t="shared" si="22"/>
        <v>2202547.3312820517</v>
      </c>
      <c r="M33" s="25">
        <f t="shared" si="23"/>
        <v>2936729.775042735</v>
      </c>
      <c r="N33" s="25">
        <f t="shared" si="24"/>
        <v>3670912.2188034193</v>
      </c>
      <c r="O33" s="25">
        <f t="shared" si="25"/>
        <v>4405094.6625641035</v>
      </c>
      <c r="P33" s="25">
        <f t="shared" si="26"/>
        <v>5139277.1063247863</v>
      </c>
      <c r="Q33" s="26">
        <f t="shared" si="27"/>
        <v>5873459.5500854701</v>
      </c>
    </row>
    <row r="35" spans="1:17" x14ac:dyDescent="0.25">
      <c r="A35" s="5" t="s">
        <v>0</v>
      </c>
      <c r="B35" s="6" t="s">
        <v>4</v>
      </c>
      <c r="C35" s="6" t="s">
        <v>1</v>
      </c>
      <c r="D35" s="6" t="s">
        <v>3</v>
      </c>
      <c r="E35" s="7" t="s">
        <v>2</v>
      </c>
      <c r="G35" s="2"/>
      <c r="H35" s="2"/>
      <c r="I35" s="2"/>
      <c r="J35" s="16" t="s">
        <v>11</v>
      </c>
      <c r="K35" s="17"/>
      <c r="L35" s="17"/>
      <c r="M35" s="17"/>
      <c r="N35" s="17"/>
      <c r="O35" s="17"/>
      <c r="P35" s="17"/>
      <c r="Q35" s="18"/>
    </row>
    <row r="36" spans="1:17" x14ac:dyDescent="0.25">
      <c r="A36" s="8">
        <v>5</v>
      </c>
      <c r="B36" s="11">
        <f xml:space="preserve"> (A36*1000)/3600</f>
        <v>1.3888888888888888</v>
      </c>
      <c r="C36" s="8">
        <v>20</v>
      </c>
      <c r="D36" s="3">
        <f>1/C36</f>
        <v>0.05</v>
      </c>
      <c r="E36" s="11">
        <f>B36/C36</f>
        <v>6.9444444444444448E-2</v>
      </c>
      <c r="G36" s="20" t="s">
        <v>7</v>
      </c>
      <c r="H36" s="20" t="s">
        <v>8</v>
      </c>
      <c r="I36" s="20" t="s">
        <v>10</v>
      </c>
      <c r="J36" s="19">
        <v>5</v>
      </c>
      <c r="K36" s="19">
        <v>10</v>
      </c>
      <c r="L36" s="19">
        <v>15</v>
      </c>
      <c r="M36" s="19">
        <v>20</v>
      </c>
      <c r="N36" s="19">
        <v>25</v>
      </c>
      <c r="O36" s="19">
        <v>30</v>
      </c>
      <c r="P36" s="19">
        <v>35</v>
      </c>
      <c r="Q36" s="19">
        <v>40</v>
      </c>
    </row>
    <row r="37" spans="1:17" x14ac:dyDescent="0.25">
      <c r="A37" s="9">
        <v>10</v>
      </c>
      <c r="B37" s="12">
        <f t="shared" ref="B37:B43" si="28" xml:space="preserve"> (A37*1000)/3600</f>
        <v>2.7777777777777777</v>
      </c>
      <c r="C37" s="9">
        <v>20</v>
      </c>
      <c r="D37" s="3">
        <f t="shared" ref="D37:D43" si="29">1/C37</f>
        <v>0.05</v>
      </c>
      <c r="E37" s="12">
        <f>B37/C37</f>
        <v>0.1388888888888889</v>
      </c>
      <c r="G37" s="9">
        <v>2</v>
      </c>
      <c r="H37" s="9">
        <f xml:space="preserve"> G37*1024*1024*1024*8</f>
        <v>17179869184</v>
      </c>
      <c r="I37" s="9">
        <f xml:space="preserve"> H37/208</f>
        <v>82595524.923076928</v>
      </c>
      <c r="J37" s="21">
        <f>E36*I37/1000</f>
        <v>5735.8003418803419</v>
      </c>
      <c r="K37" s="21">
        <f>E37*I37/1000</f>
        <v>11471.600683760684</v>
      </c>
      <c r="L37" s="21">
        <f>E38*I37/1000</f>
        <v>17207.401025641029</v>
      </c>
      <c r="M37" s="21">
        <f>E39*I37/1000</f>
        <v>22943.201367521368</v>
      </c>
      <c r="N37" s="21">
        <f>E40*I37/1000</f>
        <v>28679.001709401713</v>
      </c>
      <c r="O37" s="21">
        <f>E41*I37/1000</f>
        <v>34414.802051282059</v>
      </c>
      <c r="P37" s="21">
        <f>E42*I37/1000</f>
        <v>40150.602393162393</v>
      </c>
      <c r="Q37" s="23">
        <f>E43*I37/1000</f>
        <v>45886.402735042735</v>
      </c>
    </row>
    <row r="38" spans="1:17" x14ac:dyDescent="0.25">
      <c r="A38" s="9">
        <v>15</v>
      </c>
      <c r="B38" s="12">
        <f t="shared" si="28"/>
        <v>4.166666666666667</v>
      </c>
      <c r="C38" s="9">
        <v>20</v>
      </c>
      <c r="D38" s="3">
        <f t="shared" si="29"/>
        <v>0.05</v>
      </c>
      <c r="E38" s="12">
        <f>B38/C38</f>
        <v>0.20833333333333334</v>
      </c>
      <c r="G38" s="9">
        <v>4</v>
      </c>
      <c r="H38" s="9">
        <f xml:space="preserve"> G38*1024*1024*1024*8</f>
        <v>34359738368</v>
      </c>
      <c r="I38" s="9">
        <f xml:space="preserve"> H38/208</f>
        <v>165191049.84615386</v>
      </c>
      <c r="J38" s="22">
        <f>J37*2</f>
        <v>11471.600683760684</v>
      </c>
      <c r="K38" s="22">
        <f t="shared" ref="K38:K43" si="30">K37*2</f>
        <v>22943.201367521368</v>
      </c>
      <c r="L38" s="22">
        <f t="shared" ref="L38:L43" si="31">L37*2</f>
        <v>34414.802051282059</v>
      </c>
      <c r="M38" s="22">
        <f t="shared" ref="M38:M43" si="32">M37*2</f>
        <v>45886.402735042735</v>
      </c>
      <c r="N38" s="22">
        <f t="shared" ref="N38:N43" si="33">N37*2</f>
        <v>57358.003418803426</v>
      </c>
      <c r="O38" s="22">
        <f t="shared" ref="O38:O43" si="34">O37*2</f>
        <v>68829.604102564117</v>
      </c>
      <c r="P38" s="22">
        <f t="shared" ref="P38:P43" si="35">P37*2</f>
        <v>80301.204786324786</v>
      </c>
      <c r="Q38" s="24">
        <f t="shared" ref="Q38:Q43" si="36">Q37*2</f>
        <v>91772.80547008547</v>
      </c>
    </row>
    <row r="39" spans="1:17" x14ac:dyDescent="0.25">
      <c r="A39" s="27">
        <v>20</v>
      </c>
      <c r="B39" s="28">
        <f t="shared" si="28"/>
        <v>5.5555555555555554</v>
      </c>
      <c r="C39" s="27">
        <v>20</v>
      </c>
      <c r="D39" s="29">
        <f t="shared" si="29"/>
        <v>0.05</v>
      </c>
      <c r="E39" s="28">
        <f>B39/C39</f>
        <v>0.27777777777777779</v>
      </c>
      <c r="G39" s="9">
        <v>8</v>
      </c>
      <c r="H39" s="9">
        <f xml:space="preserve"> G39*1024*1024*1024*8</f>
        <v>68719476736</v>
      </c>
      <c r="I39" s="9">
        <f xml:space="preserve"> H39/208</f>
        <v>330382099.69230771</v>
      </c>
      <c r="J39" s="30">
        <f>J38*2</f>
        <v>22943.201367521368</v>
      </c>
      <c r="K39" s="30">
        <f t="shared" si="30"/>
        <v>45886.402735042735</v>
      </c>
      <c r="L39" s="30">
        <f t="shared" si="31"/>
        <v>68829.604102564117</v>
      </c>
      <c r="M39" s="30">
        <f t="shared" si="32"/>
        <v>91772.80547008547</v>
      </c>
      <c r="N39" s="30">
        <f t="shared" si="33"/>
        <v>114716.00683760685</v>
      </c>
      <c r="O39" s="30">
        <f t="shared" si="34"/>
        <v>137659.20820512823</v>
      </c>
      <c r="P39" s="30">
        <f t="shared" si="35"/>
        <v>160602.40957264957</v>
      </c>
      <c r="Q39" s="31">
        <f t="shared" si="36"/>
        <v>183545.61094017094</v>
      </c>
    </row>
    <row r="40" spans="1:17" x14ac:dyDescent="0.25">
      <c r="A40" s="9">
        <v>25</v>
      </c>
      <c r="B40" s="12">
        <f t="shared" si="28"/>
        <v>6.9444444444444446</v>
      </c>
      <c r="C40" s="9">
        <v>20</v>
      </c>
      <c r="D40" s="3">
        <f t="shared" si="29"/>
        <v>0.05</v>
      </c>
      <c r="E40" s="12">
        <f>B40/C40</f>
        <v>0.34722222222222221</v>
      </c>
      <c r="G40" s="9">
        <v>16</v>
      </c>
      <c r="H40" s="9">
        <f xml:space="preserve"> G40*1024*1024*1024*8</f>
        <v>137438953472</v>
      </c>
      <c r="I40" s="9">
        <f xml:space="preserve"> H40/208</f>
        <v>660764199.38461542</v>
      </c>
      <c r="J40" s="22">
        <f>J39*2</f>
        <v>45886.402735042735</v>
      </c>
      <c r="K40" s="22">
        <f t="shared" si="30"/>
        <v>91772.80547008547</v>
      </c>
      <c r="L40" s="22">
        <f t="shared" si="31"/>
        <v>137659.20820512823</v>
      </c>
      <c r="M40" s="22">
        <f t="shared" si="32"/>
        <v>183545.61094017094</v>
      </c>
      <c r="N40" s="22">
        <f t="shared" si="33"/>
        <v>229432.0136752137</v>
      </c>
      <c r="O40" s="22">
        <f t="shared" si="34"/>
        <v>275318.41641025647</v>
      </c>
      <c r="P40" s="22">
        <f t="shared" si="35"/>
        <v>321204.81914529915</v>
      </c>
      <c r="Q40" s="24">
        <f t="shared" si="36"/>
        <v>367091.22188034188</v>
      </c>
    </row>
    <row r="41" spans="1:17" x14ac:dyDescent="0.25">
      <c r="A41" s="9">
        <v>30</v>
      </c>
      <c r="B41" s="12">
        <f t="shared" si="28"/>
        <v>8.3333333333333339</v>
      </c>
      <c r="C41" s="9">
        <v>20</v>
      </c>
      <c r="D41" s="3">
        <f t="shared" si="29"/>
        <v>0.05</v>
      </c>
      <c r="E41" s="12">
        <f>B41/C41</f>
        <v>0.41666666666666669</v>
      </c>
      <c r="G41" s="9">
        <v>32</v>
      </c>
      <c r="H41" s="9">
        <f xml:space="preserve"> G41*1024*1024*1024*8</f>
        <v>274877906944</v>
      </c>
      <c r="I41" s="9">
        <f xml:space="preserve"> H41/208</f>
        <v>1321528398.7692308</v>
      </c>
      <c r="J41" s="22">
        <f>J40*2</f>
        <v>91772.80547008547</v>
      </c>
      <c r="K41" s="22">
        <f t="shared" si="30"/>
        <v>183545.61094017094</v>
      </c>
      <c r="L41" s="22">
        <f t="shared" si="31"/>
        <v>275318.41641025647</v>
      </c>
      <c r="M41" s="22">
        <f t="shared" si="32"/>
        <v>367091.22188034188</v>
      </c>
      <c r="N41" s="22">
        <f t="shared" si="33"/>
        <v>458864.02735042741</v>
      </c>
      <c r="O41" s="22">
        <f t="shared" si="34"/>
        <v>550636.83282051294</v>
      </c>
      <c r="P41" s="22">
        <f t="shared" si="35"/>
        <v>642409.63829059829</v>
      </c>
      <c r="Q41" s="24">
        <f t="shared" si="36"/>
        <v>734182.44376068376</v>
      </c>
    </row>
    <row r="42" spans="1:17" x14ac:dyDescent="0.25">
      <c r="A42" s="9">
        <v>35</v>
      </c>
      <c r="B42" s="12">
        <f t="shared" si="28"/>
        <v>9.7222222222222214</v>
      </c>
      <c r="C42" s="9">
        <v>20</v>
      </c>
      <c r="D42" s="3">
        <f t="shared" si="29"/>
        <v>0.05</v>
      </c>
      <c r="E42" s="12">
        <f>B42/C42</f>
        <v>0.48611111111111105</v>
      </c>
      <c r="G42" s="9">
        <v>64</v>
      </c>
      <c r="H42" s="9">
        <f xml:space="preserve"> G42*1024*1024*1024*8</f>
        <v>549755813888</v>
      </c>
      <c r="I42" s="9">
        <f xml:space="preserve"> H42/208</f>
        <v>2643056797.5384617</v>
      </c>
      <c r="J42" s="22">
        <f>J41*2</f>
        <v>183545.61094017094</v>
      </c>
      <c r="K42" s="22">
        <f t="shared" si="30"/>
        <v>367091.22188034188</v>
      </c>
      <c r="L42" s="22">
        <f t="shared" si="31"/>
        <v>550636.83282051294</v>
      </c>
      <c r="M42" s="22">
        <f t="shared" si="32"/>
        <v>734182.44376068376</v>
      </c>
      <c r="N42" s="22">
        <f t="shared" si="33"/>
        <v>917728.05470085482</v>
      </c>
      <c r="O42" s="22">
        <f t="shared" si="34"/>
        <v>1101273.6656410259</v>
      </c>
      <c r="P42" s="22">
        <f t="shared" si="35"/>
        <v>1284819.2765811966</v>
      </c>
      <c r="Q42" s="24">
        <f t="shared" si="36"/>
        <v>1468364.8875213675</v>
      </c>
    </row>
    <row r="43" spans="1:17" x14ac:dyDescent="0.25">
      <c r="A43" s="10">
        <v>40</v>
      </c>
      <c r="B43" s="13">
        <f t="shared" si="28"/>
        <v>11.111111111111111</v>
      </c>
      <c r="C43" s="10">
        <v>20</v>
      </c>
      <c r="D43" s="4">
        <f t="shared" si="29"/>
        <v>0.05</v>
      </c>
      <c r="E43" s="13">
        <f>B43/C43</f>
        <v>0.55555555555555558</v>
      </c>
      <c r="G43" s="10">
        <v>128</v>
      </c>
      <c r="H43" s="10">
        <f xml:space="preserve"> G43*1024*1024*1024*8</f>
        <v>1099511627776</v>
      </c>
      <c r="I43" s="10">
        <f xml:space="preserve"> H43/208</f>
        <v>5286113595.0769234</v>
      </c>
      <c r="J43" s="25">
        <f>J42*2</f>
        <v>367091.22188034188</v>
      </c>
      <c r="K43" s="25">
        <f t="shared" si="30"/>
        <v>734182.44376068376</v>
      </c>
      <c r="L43" s="25">
        <f t="shared" si="31"/>
        <v>1101273.6656410259</v>
      </c>
      <c r="M43" s="25">
        <f t="shared" si="32"/>
        <v>1468364.8875213675</v>
      </c>
      <c r="N43" s="25">
        <f t="shared" si="33"/>
        <v>1835456.1094017096</v>
      </c>
      <c r="O43" s="25">
        <f t="shared" si="34"/>
        <v>2202547.3312820517</v>
      </c>
      <c r="P43" s="25">
        <f t="shared" si="35"/>
        <v>2569638.5531623932</v>
      </c>
      <c r="Q43" s="26">
        <f t="shared" si="36"/>
        <v>2936729.775042735</v>
      </c>
    </row>
    <row r="45" spans="1:17" x14ac:dyDescent="0.25">
      <c r="A45" s="5" t="s">
        <v>0</v>
      </c>
      <c r="B45" s="6" t="s">
        <v>4</v>
      </c>
      <c r="C45" s="6" t="s">
        <v>1</v>
      </c>
      <c r="D45" s="6" t="s">
        <v>3</v>
      </c>
      <c r="E45" s="7" t="s">
        <v>2</v>
      </c>
      <c r="G45" s="2"/>
      <c r="H45" s="2"/>
      <c r="I45" s="2"/>
      <c r="J45" s="16" t="s">
        <v>11</v>
      </c>
      <c r="K45" s="17"/>
      <c r="L45" s="17"/>
      <c r="M45" s="17"/>
      <c r="N45" s="17"/>
      <c r="O45" s="17"/>
      <c r="P45" s="17"/>
      <c r="Q45" s="18"/>
    </row>
    <row r="46" spans="1:17" x14ac:dyDescent="0.25">
      <c r="A46" s="8">
        <v>5</v>
      </c>
      <c r="B46" s="11">
        <f xml:space="preserve"> (A46*1000)/3600</f>
        <v>1.3888888888888888</v>
      </c>
      <c r="C46" s="8">
        <v>40</v>
      </c>
      <c r="D46" s="3">
        <f>1/C46</f>
        <v>2.5000000000000001E-2</v>
      </c>
      <c r="E46" s="11">
        <f>B46/C46</f>
        <v>3.4722222222222224E-2</v>
      </c>
      <c r="G46" s="20" t="s">
        <v>7</v>
      </c>
      <c r="H46" s="20" t="s">
        <v>8</v>
      </c>
      <c r="I46" s="20" t="s">
        <v>10</v>
      </c>
      <c r="J46" s="19">
        <v>5</v>
      </c>
      <c r="K46" s="19">
        <v>10</v>
      </c>
      <c r="L46" s="19">
        <v>15</v>
      </c>
      <c r="M46" s="19">
        <v>20</v>
      </c>
      <c r="N46" s="19">
        <v>25</v>
      </c>
      <c r="O46" s="19">
        <v>30</v>
      </c>
      <c r="P46" s="19">
        <v>35</v>
      </c>
      <c r="Q46" s="19">
        <v>40</v>
      </c>
    </row>
    <row r="47" spans="1:17" x14ac:dyDescent="0.25">
      <c r="A47" s="9">
        <v>10</v>
      </c>
      <c r="B47" s="12">
        <f t="shared" ref="B47:B53" si="37" xml:space="preserve"> (A47*1000)/3600</f>
        <v>2.7777777777777777</v>
      </c>
      <c r="C47" s="9">
        <v>40</v>
      </c>
      <c r="D47" s="3">
        <f t="shared" ref="D47:D53" si="38">1/C47</f>
        <v>2.5000000000000001E-2</v>
      </c>
      <c r="E47" s="12">
        <f>B47/C47</f>
        <v>6.9444444444444448E-2</v>
      </c>
      <c r="G47" s="9">
        <v>2</v>
      </c>
      <c r="H47" s="9">
        <f xml:space="preserve"> G47*1024*1024*1024*8</f>
        <v>17179869184</v>
      </c>
      <c r="I47" s="9">
        <f xml:space="preserve"> H47/208</f>
        <v>82595524.923076928</v>
      </c>
      <c r="J47" s="21">
        <f>E46*I47/1000</f>
        <v>2867.9001709401709</v>
      </c>
      <c r="K47" s="21">
        <f>E47*I47/1000</f>
        <v>5735.8003418803419</v>
      </c>
      <c r="L47" s="21">
        <f>E48*I47/1000</f>
        <v>8603.7005128205146</v>
      </c>
      <c r="M47" s="21">
        <f>E49*I47/1000</f>
        <v>11471.600683760684</v>
      </c>
      <c r="N47" s="21">
        <f>E50*I47/1000</f>
        <v>14339.500854700857</v>
      </c>
      <c r="O47" s="21">
        <f>E51*I47/1000</f>
        <v>17207.401025641029</v>
      </c>
      <c r="P47" s="21">
        <f>E52*I47/1000</f>
        <v>20075.301196581197</v>
      </c>
      <c r="Q47" s="23">
        <f>E53*I47/1000</f>
        <v>22943.201367521368</v>
      </c>
    </row>
    <row r="48" spans="1:17" x14ac:dyDescent="0.25">
      <c r="A48" s="9">
        <v>15</v>
      </c>
      <c r="B48" s="12">
        <f t="shared" si="37"/>
        <v>4.166666666666667</v>
      </c>
      <c r="C48" s="9">
        <v>40</v>
      </c>
      <c r="D48" s="3">
        <f t="shared" si="38"/>
        <v>2.5000000000000001E-2</v>
      </c>
      <c r="E48" s="12">
        <f>B48/C48</f>
        <v>0.10416666666666667</v>
      </c>
      <c r="G48" s="9">
        <v>4</v>
      </c>
      <c r="H48" s="9">
        <f xml:space="preserve"> G48*1024*1024*1024*8</f>
        <v>34359738368</v>
      </c>
      <c r="I48" s="9">
        <f xml:space="preserve"> H48/208</f>
        <v>165191049.84615386</v>
      </c>
      <c r="J48" s="22">
        <f>J47*2</f>
        <v>5735.8003418803419</v>
      </c>
      <c r="K48" s="22">
        <f t="shared" ref="K48:K53" si="39">K47*2</f>
        <v>11471.600683760684</v>
      </c>
      <c r="L48" s="22">
        <f t="shared" ref="L48:L53" si="40">L47*2</f>
        <v>17207.401025641029</v>
      </c>
      <c r="M48" s="22">
        <f t="shared" ref="M48:M53" si="41">M47*2</f>
        <v>22943.201367521368</v>
      </c>
      <c r="N48" s="22">
        <f t="shared" ref="N48:N53" si="42">N47*2</f>
        <v>28679.001709401713</v>
      </c>
      <c r="O48" s="22">
        <f t="shared" ref="O48:O53" si="43">O47*2</f>
        <v>34414.802051282059</v>
      </c>
      <c r="P48" s="22">
        <f t="shared" ref="P48:P53" si="44">P47*2</f>
        <v>40150.602393162393</v>
      </c>
      <c r="Q48" s="24">
        <f t="shared" ref="Q48:Q53" si="45">Q47*2</f>
        <v>45886.402735042735</v>
      </c>
    </row>
    <row r="49" spans="1:17" x14ac:dyDescent="0.25">
      <c r="A49" s="9">
        <v>20</v>
      </c>
      <c r="B49" s="12">
        <f t="shared" si="37"/>
        <v>5.5555555555555554</v>
      </c>
      <c r="C49" s="9">
        <v>40</v>
      </c>
      <c r="D49" s="3">
        <f t="shared" si="38"/>
        <v>2.5000000000000001E-2</v>
      </c>
      <c r="E49" s="12">
        <f>B49/C49</f>
        <v>0.1388888888888889</v>
      </c>
      <c r="G49" s="9">
        <v>8</v>
      </c>
      <c r="H49" s="9">
        <f xml:space="preserve"> G49*1024*1024*1024*8</f>
        <v>68719476736</v>
      </c>
      <c r="I49" s="9">
        <f xml:space="preserve"> H49/208</f>
        <v>330382099.69230771</v>
      </c>
      <c r="J49" s="22">
        <f>J48*2</f>
        <v>11471.600683760684</v>
      </c>
      <c r="K49" s="22">
        <f t="shared" si="39"/>
        <v>22943.201367521368</v>
      </c>
      <c r="L49" s="22">
        <f t="shared" si="40"/>
        <v>34414.802051282059</v>
      </c>
      <c r="M49" s="22">
        <f t="shared" si="41"/>
        <v>45886.402735042735</v>
      </c>
      <c r="N49" s="22">
        <f t="shared" si="42"/>
        <v>57358.003418803426</v>
      </c>
      <c r="O49" s="22">
        <f t="shared" si="43"/>
        <v>68829.604102564117</v>
      </c>
      <c r="P49" s="22">
        <f t="shared" si="44"/>
        <v>80301.204786324786</v>
      </c>
      <c r="Q49" s="24">
        <f t="shared" si="45"/>
        <v>91772.80547008547</v>
      </c>
    </row>
    <row r="50" spans="1:17" x14ac:dyDescent="0.25">
      <c r="A50" s="9">
        <v>25</v>
      </c>
      <c r="B50" s="12">
        <f t="shared" si="37"/>
        <v>6.9444444444444446</v>
      </c>
      <c r="C50" s="9">
        <v>40</v>
      </c>
      <c r="D50" s="3">
        <f t="shared" si="38"/>
        <v>2.5000000000000001E-2</v>
      </c>
      <c r="E50" s="12">
        <f>B50/C50</f>
        <v>0.1736111111111111</v>
      </c>
      <c r="G50" s="9">
        <v>16</v>
      </c>
      <c r="H50" s="9">
        <f xml:space="preserve"> G50*1024*1024*1024*8</f>
        <v>137438953472</v>
      </c>
      <c r="I50" s="9">
        <f xml:space="preserve"> H50/208</f>
        <v>660764199.38461542</v>
      </c>
      <c r="J50" s="22">
        <f>J49*2</f>
        <v>22943.201367521368</v>
      </c>
      <c r="K50" s="22">
        <f t="shared" si="39"/>
        <v>45886.402735042735</v>
      </c>
      <c r="L50" s="22">
        <f t="shared" si="40"/>
        <v>68829.604102564117</v>
      </c>
      <c r="M50" s="22">
        <f t="shared" si="41"/>
        <v>91772.80547008547</v>
      </c>
      <c r="N50" s="22">
        <f t="shared" si="42"/>
        <v>114716.00683760685</v>
      </c>
      <c r="O50" s="22">
        <f t="shared" si="43"/>
        <v>137659.20820512823</v>
      </c>
      <c r="P50" s="22">
        <f t="shared" si="44"/>
        <v>160602.40957264957</v>
      </c>
      <c r="Q50" s="24">
        <f t="shared" si="45"/>
        <v>183545.61094017094</v>
      </c>
    </row>
    <row r="51" spans="1:17" x14ac:dyDescent="0.25">
      <c r="A51" s="9">
        <v>30</v>
      </c>
      <c r="B51" s="12">
        <f t="shared" si="37"/>
        <v>8.3333333333333339</v>
      </c>
      <c r="C51" s="9">
        <v>40</v>
      </c>
      <c r="D51" s="3">
        <f t="shared" si="38"/>
        <v>2.5000000000000001E-2</v>
      </c>
      <c r="E51" s="12">
        <f>B51/C51</f>
        <v>0.20833333333333334</v>
      </c>
      <c r="G51" s="9">
        <v>32</v>
      </c>
      <c r="H51" s="9">
        <f xml:space="preserve"> G51*1024*1024*1024*8</f>
        <v>274877906944</v>
      </c>
      <c r="I51" s="9">
        <f xml:space="preserve"> H51/208</f>
        <v>1321528398.7692308</v>
      </c>
      <c r="J51" s="22">
        <f>J50*2</f>
        <v>45886.402735042735</v>
      </c>
      <c r="K51" s="22">
        <f t="shared" si="39"/>
        <v>91772.80547008547</v>
      </c>
      <c r="L51" s="22">
        <f t="shared" si="40"/>
        <v>137659.20820512823</v>
      </c>
      <c r="M51" s="22">
        <f t="shared" si="41"/>
        <v>183545.61094017094</v>
      </c>
      <c r="N51" s="22">
        <f t="shared" si="42"/>
        <v>229432.0136752137</v>
      </c>
      <c r="O51" s="22">
        <f t="shared" si="43"/>
        <v>275318.41641025647</v>
      </c>
      <c r="P51" s="22">
        <f t="shared" si="44"/>
        <v>321204.81914529915</v>
      </c>
      <c r="Q51" s="24">
        <f t="shared" si="45"/>
        <v>367091.22188034188</v>
      </c>
    </row>
    <row r="52" spans="1:17" x14ac:dyDescent="0.25">
      <c r="A52" s="9">
        <v>35</v>
      </c>
      <c r="B52" s="12">
        <f t="shared" si="37"/>
        <v>9.7222222222222214</v>
      </c>
      <c r="C52" s="9">
        <v>40</v>
      </c>
      <c r="D52" s="3">
        <f t="shared" si="38"/>
        <v>2.5000000000000001E-2</v>
      </c>
      <c r="E52" s="12">
        <f>B52/C52</f>
        <v>0.24305555555555552</v>
      </c>
      <c r="G52" s="9">
        <v>64</v>
      </c>
      <c r="H52" s="9">
        <f xml:space="preserve"> G52*1024*1024*1024*8</f>
        <v>549755813888</v>
      </c>
      <c r="I52" s="9">
        <f xml:space="preserve"> H52/208</f>
        <v>2643056797.5384617</v>
      </c>
      <c r="J52" s="22">
        <f>J51*2</f>
        <v>91772.80547008547</v>
      </c>
      <c r="K52" s="22">
        <f t="shared" si="39"/>
        <v>183545.61094017094</v>
      </c>
      <c r="L52" s="22">
        <f t="shared" si="40"/>
        <v>275318.41641025647</v>
      </c>
      <c r="M52" s="22">
        <f t="shared" si="41"/>
        <v>367091.22188034188</v>
      </c>
      <c r="N52" s="22">
        <f t="shared" si="42"/>
        <v>458864.02735042741</v>
      </c>
      <c r="O52" s="22">
        <f t="shared" si="43"/>
        <v>550636.83282051294</v>
      </c>
      <c r="P52" s="22">
        <f t="shared" si="44"/>
        <v>642409.63829059829</v>
      </c>
      <c r="Q52" s="24">
        <f t="shared" si="45"/>
        <v>734182.44376068376</v>
      </c>
    </row>
    <row r="53" spans="1:17" x14ac:dyDescent="0.25">
      <c r="A53" s="10">
        <v>40</v>
      </c>
      <c r="B53" s="13">
        <f t="shared" si="37"/>
        <v>11.111111111111111</v>
      </c>
      <c r="C53" s="10">
        <v>40</v>
      </c>
      <c r="D53" s="4">
        <f t="shared" si="38"/>
        <v>2.5000000000000001E-2</v>
      </c>
      <c r="E53" s="13">
        <f>B53/C53</f>
        <v>0.27777777777777779</v>
      </c>
      <c r="G53" s="10">
        <v>128</v>
      </c>
      <c r="H53" s="10">
        <f xml:space="preserve"> G53*1024*1024*1024*8</f>
        <v>1099511627776</v>
      </c>
      <c r="I53" s="10">
        <f xml:space="preserve"> H53/208</f>
        <v>5286113595.0769234</v>
      </c>
      <c r="J53" s="25">
        <f>J52*2</f>
        <v>183545.61094017094</v>
      </c>
      <c r="K53" s="25">
        <f t="shared" si="39"/>
        <v>367091.22188034188</v>
      </c>
      <c r="L53" s="25">
        <f t="shared" si="40"/>
        <v>550636.83282051294</v>
      </c>
      <c r="M53" s="25">
        <f t="shared" si="41"/>
        <v>734182.44376068376</v>
      </c>
      <c r="N53" s="25">
        <f t="shared" si="42"/>
        <v>917728.05470085482</v>
      </c>
      <c r="O53" s="25">
        <f t="shared" si="43"/>
        <v>1101273.6656410259</v>
      </c>
      <c r="P53" s="25">
        <f t="shared" si="44"/>
        <v>1284819.2765811966</v>
      </c>
      <c r="Q53" s="26">
        <f t="shared" si="45"/>
        <v>1468364.8875213675</v>
      </c>
    </row>
    <row r="55" spans="1:17" x14ac:dyDescent="0.25">
      <c r="A55" s="5" t="s">
        <v>0</v>
      </c>
      <c r="B55" s="6" t="s">
        <v>4</v>
      </c>
      <c r="C55" s="6" t="s">
        <v>1</v>
      </c>
      <c r="D55" s="6" t="s">
        <v>3</v>
      </c>
      <c r="E55" s="7" t="s">
        <v>2</v>
      </c>
      <c r="G55" s="2"/>
      <c r="H55" s="2"/>
      <c r="I55" s="2"/>
      <c r="J55" s="16" t="s">
        <v>11</v>
      </c>
      <c r="K55" s="17"/>
      <c r="L55" s="17"/>
      <c r="M55" s="17"/>
      <c r="N55" s="17"/>
      <c r="O55" s="17"/>
      <c r="P55" s="17"/>
      <c r="Q55" s="18"/>
    </row>
    <row r="56" spans="1:17" x14ac:dyDescent="0.25">
      <c r="A56" s="8">
        <v>5</v>
      </c>
      <c r="B56" s="11">
        <f xml:space="preserve"> (A56*1000)/3600</f>
        <v>1.3888888888888888</v>
      </c>
      <c r="C56" s="8">
        <v>80</v>
      </c>
      <c r="D56" s="3">
        <f>1/C56</f>
        <v>1.2500000000000001E-2</v>
      </c>
      <c r="E56" s="11">
        <f>B56/C56</f>
        <v>1.7361111111111112E-2</v>
      </c>
      <c r="G56" s="20" t="s">
        <v>7</v>
      </c>
      <c r="H56" s="20" t="s">
        <v>8</v>
      </c>
      <c r="I56" s="20" t="s">
        <v>10</v>
      </c>
      <c r="J56" s="19">
        <v>5</v>
      </c>
      <c r="K56" s="19">
        <v>10</v>
      </c>
      <c r="L56" s="19">
        <v>15</v>
      </c>
      <c r="M56" s="19">
        <v>20</v>
      </c>
      <c r="N56" s="19">
        <v>25</v>
      </c>
      <c r="O56" s="19">
        <v>30</v>
      </c>
      <c r="P56" s="19">
        <v>35</v>
      </c>
      <c r="Q56" s="19">
        <v>40</v>
      </c>
    </row>
    <row r="57" spans="1:17" x14ac:dyDescent="0.25">
      <c r="A57" s="9">
        <v>10</v>
      </c>
      <c r="B57" s="12">
        <f t="shared" ref="B57:B63" si="46" xml:space="preserve"> (A57*1000)/3600</f>
        <v>2.7777777777777777</v>
      </c>
      <c r="C57" s="9">
        <v>80</v>
      </c>
      <c r="D57" s="3">
        <f t="shared" ref="D57:D63" si="47">1/C57</f>
        <v>1.2500000000000001E-2</v>
      </c>
      <c r="E57" s="12">
        <f>B57/C57</f>
        <v>3.4722222222222224E-2</v>
      </c>
      <c r="G57" s="9">
        <v>2</v>
      </c>
      <c r="H57" s="9">
        <f xml:space="preserve"> G57*1024*1024*1024*8</f>
        <v>17179869184</v>
      </c>
      <c r="I57" s="9">
        <f xml:space="preserve"> H57/208</f>
        <v>82595524.923076928</v>
      </c>
      <c r="J57" s="21">
        <f>E56*I57/1000</f>
        <v>1433.9500854700855</v>
      </c>
      <c r="K57" s="21">
        <f>E57*I57/1000</f>
        <v>2867.9001709401709</v>
      </c>
      <c r="L57" s="21">
        <f>E58*I57/1000</f>
        <v>4301.8502564102573</v>
      </c>
      <c r="M57" s="21">
        <f>E59*I57/1000</f>
        <v>5735.8003418803419</v>
      </c>
      <c r="N57" s="21">
        <f>E60*I57/1000</f>
        <v>7169.7504273504283</v>
      </c>
      <c r="O57" s="21">
        <f>E61*I57/1000</f>
        <v>8603.7005128205146</v>
      </c>
      <c r="P57" s="21">
        <f>E62*I57/1000</f>
        <v>10037.650598290598</v>
      </c>
      <c r="Q57" s="23">
        <f>E63*I57/1000</f>
        <v>11471.600683760684</v>
      </c>
    </row>
    <row r="58" spans="1:17" x14ac:dyDescent="0.25">
      <c r="A58" s="9">
        <v>15</v>
      </c>
      <c r="B58" s="12">
        <f t="shared" si="46"/>
        <v>4.166666666666667</v>
      </c>
      <c r="C58" s="9">
        <v>80</v>
      </c>
      <c r="D58" s="3">
        <f t="shared" si="47"/>
        <v>1.2500000000000001E-2</v>
      </c>
      <c r="E58" s="12">
        <f>B58/C58</f>
        <v>5.2083333333333336E-2</v>
      </c>
      <c r="G58" s="9">
        <v>4</v>
      </c>
      <c r="H58" s="9">
        <f xml:space="preserve"> G58*1024*1024*1024*8</f>
        <v>34359738368</v>
      </c>
      <c r="I58" s="9">
        <f xml:space="preserve"> H58/208</f>
        <v>165191049.84615386</v>
      </c>
      <c r="J58" s="22">
        <f>J57*2</f>
        <v>2867.9001709401709</v>
      </c>
      <c r="K58" s="22">
        <f t="shared" ref="K58:K63" si="48">K57*2</f>
        <v>5735.8003418803419</v>
      </c>
      <c r="L58" s="22">
        <f t="shared" ref="L58:L63" si="49">L57*2</f>
        <v>8603.7005128205146</v>
      </c>
      <c r="M58" s="22">
        <f t="shared" ref="M58:M63" si="50">M57*2</f>
        <v>11471.600683760684</v>
      </c>
      <c r="N58" s="22">
        <f t="shared" ref="N58:N63" si="51">N57*2</f>
        <v>14339.500854700857</v>
      </c>
      <c r="O58" s="22">
        <f t="shared" ref="O58:O63" si="52">O57*2</f>
        <v>17207.401025641029</v>
      </c>
      <c r="P58" s="22">
        <f t="shared" ref="P58:P63" si="53">P57*2</f>
        <v>20075.301196581197</v>
      </c>
      <c r="Q58" s="24">
        <f t="shared" ref="Q58:Q63" si="54">Q57*2</f>
        <v>22943.201367521368</v>
      </c>
    </row>
    <row r="59" spans="1:17" x14ac:dyDescent="0.25">
      <c r="A59" s="9">
        <v>20</v>
      </c>
      <c r="B59" s="12">
        <f t="shared" si="46"/>
        <v>5.5555555555555554</v>
      </c>
      <c r="C59" s="9">
        <v>80</v>
      </c>
      <c r="D59" s="3">
        <f t="shared" si="47"/>
        <v>1.2500000000000001E-2</v>
      </c>
      <c r="E59" s="12">
        <f>B59/C59</f>
        <v>6.9444444444444448E-2</v>
      </c>
      <c r="G59" s="9">
        <v>8</v>
      </c>
      <c r="H59" s="9">
        <f xml:space="preserve"> G59*1024*1024*1024*8</f>
        <v>68719476736</v>
      </c>
      <c r="I59" s="9">
        <f xml:space="preserve"> H59/208</f>
        <v>330382099.69230771</v>
      </c>
      <c r="J59" s="22">
        <f>J58*2</f>
        <v>5735.8003418803419</v>
      </c>
      <c r="K59" s="22">
        <f t="shared" si="48"/>
        <v>11471.600683760684</v>
      </c>
      <c r="L59" s="22">
        <f t="shared" si="49"/>
        <v>17207.401025641029</v>
      </c>
      <c r="M59" s="22">
        <f t="shared" si="50"/>
        <v>22943.201367521368</v>
      </c>
      <c r="N59" s="22">
        <f t="shared" si="51"/>
        <v>28679.001709401713</v>
      </c>
      <c r="O59" s="22">
        <f t="shared" si="52"/>
        <v>34414.802051282059</v>
      </c>
      <c r="P59" s="22">
        <f t="shared" si="53"/>
        <v>40150.602393162393</v>
      </c>
      <c r="Q59" s="24">
        <f t="shared" si="54"/>
        <v>45886.402735042735</v>
      </c>
    </row>
    <row r="60" spans="1:17" x14ac:dyDescent="0.25">
      <c r="A60" s="9">
        <v>25</v>
      </c>
      <c r="B60" s="12">
        <f t="shared" si="46"/>
        <v>6.9444444444444446</v>
      </c>
      <c r="C60" s="9">
        <v>80</v>
      </c>
      <c r="D60" s="3">
        <f t="shared" si="47"/>
        <v>1.2500000000000001E-2</v>
      </c>
      <c r="E60" s="12">
        <f>B60/C60</f>
        <v>8.6805555555555552E-2</v>
      </c>
      <c r="G60" s="9">
        <v>16</v>
      </c>
      <c r="H60" s="9">
        <f xml:space="preserve"> G60*1024*1024*1024*8</f>
        <v>137438953472</v>
      </c>
      <c r="I60" s="9">
        <f xml:space="preserve"> H60/208</f>
        <v>660764199.38461542</v>
      </c>
      <c r="J60" s="22">
        <f>J59*2</f>
        <v>11471.600683760684</v>
      </c>
      <c r="K60" s="22">
        <f t="shared" si="48"/>
        <v>22943.201367521368</v>
      </c>
      <c r="L60" s="22">
        <f t="shared" si="49"/>
        <v>34414.802051282059</v>
      </c>
      <c r="M60" s="22">
        <f t="shared" si="50"/>
        <v>45886.402735042735</v>
      </c>
      <c r="N60" s="22">
        <f t="shared" si="51"/>
        <v>57358.003418803426</v>
      </c>
      <c r="O60" s="22">
        <f t="shared" si="52"/>
        <v>68829.604102564117</v>
      </c>
      <c r="P60" s="22">
        <f t="shared" si="53"/>
        <v>80301.204786324786</v>
      </c>
      <c r="Q60" s="24">
        <f t="shared" si="54"/>
        <v>91772.80547008547</v>
      </c>
    </row>
    <row r="61" spans="1:17" x14ac:dyDescent="0.25">
      <c r="A61" s="9">
        <v>30</v>
      </c>
      <c r="B61" s="12">
        <f t="shared" si="46"/>
        <v>8.3333333333333339</v>
      </c>
      <c r="C61" s="9">
        <v>80</v>
      </c>
      <c r="D61" s="3">
        <f t="shared" si="47"/>
        <v>1.2500000000000001E-2</v>
      </c>
      <c r="E61" s="12">
        <f>B61/C61</f>
        <v>0.10416666666666667</v>
      </c>
      <c r="G61" s="9">
        <v>32</v>
      </c>
      <c r="H61" s="9">
        <f xml:space="preserve"> G61*1024*1024*1024*8</f>
        <v>274877906944</v>
      </c>
      <c r="I61" s="9">
        <f xml:space="preserve"> H61/208</f>
        <v>1321528398.7692308</v>
      </c>
      <c r="J61" s="22">
        <f>J60*2</f>
        <v>22943.201367521368</v>
      </c>
      <c r="K61" s="22">
        <f t="shared" si="48"/>
        <v>45886.402735042735</v>
      </c>
      <c r="L61" s="22">
        <f t="shared" si="49"/>
        <v>68829.604102564117</v>
      </c>
      <c r="M61" s="22">
        <f t="shared" si="50"/>
        <v>91772.80547008547</v>
      </c>
      <c r="N61" s="22">
        <f t="shared" si="51"/>
        <v>114716.00683760685</v>
      </c>
      <c r="O61" s="22">
        <f t="shared" si="52"/>
        <v>137659.20820512823</v>
      </c>
      <c r="P61" s="22">
        <f t="shared" si="53"/>
        <v>160602.40957264957</v>
      </c>
      <c r="Q61" s="24">
        <f t="shared" si="54"/>
        <v>183545.61094017094</v>
      </c>
    </row>
    <row r="62" spans="1:17" x14ac:dyDescent="0.25">
      <c r="A62" s="9">
        <v>35</v>
      </c>
      <c r="B62" s="12">
        <f t="shared" si="46"/>
        <v>9.7222222222222214</v>
      </c>
      <c r="C62" s="9">
        <v>80</v>
      </c>
      <c r="D62" s="3">
        <f t="shared" si="47"/>
        <v>1.2500000000000001E-2</v>
      </c>
      <c r="E62" s="12">
        <f>B62/C62</f>
        <v>0.12152777777777776</v>
      </c>
      <c r="G62" s="9">
        <v>64</v>
      </c>
      <c r="H62" s="9">
        <f xml:space="preserve"> G62*1024*1024*1024*8</f>
        <v>549755813888</v>
      </c>
      <c r="I62" s="9">
        <f xml:space="preserve"> H62/208</f>
        <v>2643056797.5384617</v>
      </c>
      <c r="J62" s="22">
        <f>J61*2</f>
        <v>45886.402735042735</v>
      </c>
      <c r="K62" s="22">
        <f t="shared" si="48"/>
        <v>91772.80547008547</v>
      </c>
      <c r="L62" s="22">
        <f t="shared" si="49"/>
        <v>137659.20820512823</v>
      </c>
      <c r="M62" s="22">
        <f t="shared" si="50"/>
        <v>183545.61094017094</v>
      </c>
      <c r="N62" s="22">
        <f t="shared" si="51"/>
        <v>229432.0136752137</v>
      </c>
      <c r="O62" s="22">
        <f t="shared" si="52"/>
        <v>275318.41641025647</v>
      </c>
      <c r="P62" s="22">
        <f t="shared" si="53"/>
        <v>321204.81914529915</v>
      </c>
      <c r="Q62" s="24">
        <f t="shared" si="54"/>
        <v>367091.22188034188</v>
      </c>
    </row>
    <row r="63" spans="1:17" x14ac:dyDescent="0.25">
      <c r="A63" s="10">
        <v>40</v>
      </c>
      <c r="B63" s="13">
        <f t="shared" si="46"/>
        <v>11.111111111111111</v>
      </c>
      <c r="C63" s="10">
        <v>80</v>
      </c>
      <c r="D63" s="4">
        <f t="shared" si="47"/>
        <v>1.2500000000000001E-2</v>
      </c>
      <c r="E63" s="13">
        <f>B63/C63</f>
        <v>0.1388888888888889</v>
      </c>
      <c r="G63" s="10">
        <v>128</v>
      </c>
      <c r="H63" s="10">
        <f xml:space="preserve"> G63*1024*1024*1024*8</f>
        <v>1099511627776</v>
      </c>
      <c r="I63" s="10">
        <f xml:space="preserve"> H63/208</f>
        <v>5286113595.0769234</v>
      </c>
      <c r="J63" s="25">
        <f>J62*2</f>
        <v>91772.80547008547</v>
      </c>
      <c r="K63" s="25">
        <f t="shared" si="48"/>
        <v>183545.61094017094</v>
      </c>
      <c r="L63" s="25">
        <f t="shared" si="49"/>
        <v>275318.41641025647</v>
      </c>
      <c r="M63" s="25">
        <f t="shared" si="50"/>
        <v>367091.22188034188</v>
      </c>
      <c r="N63" s="25">
        <f t="shared" si="51"/>
        <v>458864.02735042741</v>
      </c>
      <c r="O63" s="25">
        <f t="shared" si="52"/>
        <v>550636.83282051294</v>
      </c>
      <c r="P63" s="25">
        <f t="shared" si="53"/>
        <v>642409.63829059829</v>
      </c>
      <c r="Q63" s="26">
        <f t="shared" si="54"/>
        <v>734182.44376068376</v>
      </c>
    </row>
    <row r="65" spans="1:17" x14ac:dyDescent="0.25">
      <c r="A65" s="5" t="s">
        <v>0</v>
      </c>
      <c r="B65" s="6" t="s">
        <v>4</v>
      </c>
      <c r="C65" s="6" t="s">
        <v>1</v>
      </c>
      <c r="D65" s="6" t="s">
        <v>3</v>
      </c>
      <c r="E65" s="7" t="s">
        <v>2</v>
      </c>
      <c r="G65" s="2"/>
      <c r="H65" s="2"/>
      <c r="I65" s="2"/>
      <c r="J65" s="16" t="s">
        <v>11</v>
      </c>
      <c r="K65" s="17"/>
      <c r="L65" s="17"/>
      <c r="M65" s="17"/>
      <c r="N65" s="17"/>
      <c r="O65" s="17"/>
      <c r="P65" s="17"/>
      <c r="Q65" s="18"/>
    </row>
    <row r="66" spans="1:17" x14ac:dyDescent="0.25">
      <c r="A66" s="8">
        <v>5</v>
      </c>
      <c r="B66" s="11">
        <f xml:space="preserve"> (A66*1000)/3600</f>
        <v>1.3888888888888888</v>
      </c>
      <c r="C66" s="8">
        <v>100</v>
      </c>
      <c r="D66" s="3">
        <f>1/C66</f>
        <v>0.01</v>
      </c>
      <c r="E66" s="11">
        <f>B66/C66</f>
        <v>1.3888888888888888E-2</v>
      </c>
      <c r="G66" s="20" t="s">
        <v>7</v>
      </c>
      <c r="H66" s="20" t="s">
        <v>8</v>
      </c>
      <c r="I66" s="20" t="s">
        <v>10</v>
      </c>
      <c r="J66" s="19">
        <v>5</v>
      </c>
      <c r="K66" s="19">
        <v>10</v>
      </c>
      <c r="L66" s="19">
        <v>15</v>
      </c>
      <c r="M66" s="19">
        <v>20</v>
      </c>
      <c r="N66" s="19">
        <v>25</v>
      </c>
      <c r="O66" s="19">
        <v>30</v>
      </c>
      <c r="P66" s="19">
        <v>35</v>
      </c>
      <c r="Q66" s="19">
        <v>40</v>
      </c>
    </row>
    <row r="67" spans="1:17" x14ac:dyDescent="0.25">
      <c r="A67" s="9">
        <v>10</v>
      </c>
      <c r="B67" s="12">
        <f t="shared" ref="B67:B73" si="55" xml:space="preserve"> (A67*1000)/3600</f>
        <v>2.7777777777777777</v>
      </c>
      <c r="C67" s="9">
        <v>100</v>
      </c>
      <c r="D67" s="3">
        <f t="shared" ref="D67:D73" si="56">1/C67</f>
        <v>0.01</v>
      </c>
      <c r="E67" s="12">
        <f>B67/C67</f>
        <v>2.7777777777777776E-2</v>
      </c>
      <c r="G67" s="9">
        <v>2</v>
      </c>
      <c r="H67" s="9">
        <f xml:space="preserve"> G67*1024*1024*1024*8</f>
        <v>17179869184</v>
      </c>
      <c r="I67" s="9">
        <f xml:space="preserve"> H67/208</f>
        <v>82595524.923076928</v>
      </c>
      <c r="J67" s="21">
        <f>E66*I67/1000</f>
        <v>1147.1600683760685</v>
      </c>
      <c r="K67" s="21">
        <f>E67*I67/1000</f>
        <v>2294.3201367521369</v>
      </c>
      <c r="L67" s="21">
        <f>E68*I67/1000</f>
        <v>3441.4802051282054</v>
      </c>
      <c r="M67" s="21">
        <f>E69*I67/1000</f>
        <v>4588.6402735042739</v>
      </c>
      <c r="N67" s="21">
        <f>E70*I67/1000</f>
        <v>5735.8003418803419</v>
      </c>
      <c r="O67" s="21">
        <f>E71*I67/1000</f>
        <v>6882.9604102564108</v>
      </c>
      <c r="P67" s="21">
        <f>E72*I67/1000</f>
        <v>8030.1204786324779</v>
      </c>
      <c r="Q67" s="23">
        <f>E73*I67/1000</f>
        <v>9177.2805470085477</v>
      </c>
    </row>
    <row r="68" spans="1:17" x14ac:dyDescent="0.25">
      <c r="A68" s="9">
        <v>15</v>
      </c>
      <c r="B68" s="12">
        <f t="shared" si="55"/>
        <v>4.166666666666667</v>
      </c>
      <c r="C68" s="9">
        <v>100</v>
      </c>
      <c r="D68" s="3">
        <f t="shared" si="56"/>
        <v>0.01</v>
      </c>
      <c r="E68" s="12">
        <f>B68/C68</f>
        <v>4.1666666666666671E-2</v>
      </c>
      <c r="G68" s="9">
        <v>4</v>
      </c>
      <c r="H68" s="9">
        <f xml:space="preserve"> G68*1024*1024*1024*8</f>
        <v>34359738368</v>
      </c>
      <c r="I68" s="9">
        <f xml:space="preserve"> H68/208</f>
        <v>165191049.84615386</v>
      </c>
      <c r="J68" s="22">
        <f>J67*2</f>
        <v>2294.3201367521369</v>
      </c>
      <c r="K68" s="22">
        <f t="shared" ref="K68:K73" si="57">K67*2</f>
        <v>4588.6402735042739</v>
      </c>
      <c r="L68" s="22">
        <f t="shared" ref="L68:L73" si="58">L67*2</f>
        <v>6882.9604102564108</v>
      </c>
      <c r="M68" s="22">
        <f t="shared" ref="M68:M73" si="59">M67*2</f>
        <v>9177.2805470085477</v>
      </c>
      <c r="N68" s="22">
        <f t="shared" ref="N68:N73" si="60">N67*2</f>
        <v>11471.600683760684</v>
      </c>
      <c r="O68" s="22">
        <f t="shared" ref="O68:O73" si="61">O67*2</f>
        <v>13765.920820512822</v>
      </c>
      <c r="P68" s="22">
        <f t="shared" ref="P68:P73" si="62">P67*2</f>
        <v>16060.240957264956</v>
      </c>
      <c r="Q68" s="24">
        <f t="shared" ref="Q68:Q73" si="63">Q67*2</f>
        <v>18354.561094017095</v>
      </c>
    </row>
    <row r="69" spans="1:17" x14ac:dyDescent="0.25">
      <c r="A69" s="9">
        <v>20</v>
      </c>
      <c r="B69" s="12">
        <f t="shared" si="55"/>
        <v>5.5555555555555554</v>
      </c>
      <c r="C69" s="9">
        <v>100</v>
      </c>
      <c r="D69" s="3">
        <f t="shared" si="56"/>
        <v>0.01</v>
      </c>
      <c r="E69" s="12">
        <f>B69/C69</f>
        <v>5.5555555555555552E-2</v>
      </c>
      <c r="G69" s="9">
        <v>8</v>
      </c>
      <c r="H69" s="9">
        <f xml:space="preserve"> G69*1024*1024*1024*8</f>
        <v>68719476736</v>
      </c>
      <c r="I69" s="9">
        <f xml:space="preserve"> H69/208</f>
        <v>330382099.69230771</v>
      </c>
      <c r="J69" s="22">
        <f>J68*2</f>
        <v>4588.6402735042739</v>
      </c>
      <c r="K69" s="22">
        <f t="shared" si="57"/>
        <v>9177.2805470085477</v>
      </c>
      <c r="L69" s="22">
        <f t="shared" si="58"/>
        <v>13765.920820512822</v>
      </c>
      <c r="M69" s="22">
        <f t="shared" si="59"/>
        <v>18354.561094017095</v>
      </c>
      <c r="N69" s="22">
        <f t="shared" si="60"/>
        <v>22943.201367521368</v>
      </c>
      <c r="O69" s="22">
        <f t="shared" si="61"/>
        <v>27531.841641025643</v>
      </c>
      <c r="P69" s="22">
        <f t="shared" si="62"/>
        <v>32120.481914529912</v>
      </c>
      <c r="Q69" s="24">
        <f t="shared" si="63"/>
        <v>36709.122188034191</v>
      </c>
    </row>
    <row r="70" spans="1:17" x14ac:dyDescent="0.25">
      <c r="A70" s="9">
        <v>25</v>
      </c>
      <c r="B70" s="12">
        <f t="shared" si="55"/>
        <v>6.9444444444444446</v>
      </c>
      <c r="C70" s="9">
        <v>100</v>
      </c>
      <c r="D70" s="3">
        <f t="shared" si="56"/>
        <v>0.01</v>
      </c>
      <c r="E70" s="12">
        <f>B70/C70</f>
        <v>6.9444444444444448E-2</v>
      </c>
      <c r="G70" s="9">
        <v>16</v>
      </c>
      <c r="H70" s="9">
        <f xml:space="preserve"> G70*1024*1024*1024*8</f>
        <v>137438953472</v>
      </c>
      <c r="I70" s="9">
        <f xml:space="preserve"> H70/208</f>
        <v>660764199.38461542</v>
      </c>
      <c r="J70" s="22">
        <f>J69*2</f>
        <v>9177.2805470085477</v>
      </c>
      <c r="K70" s="22">
        <f t="shared" si="57"/>
        <v>18354.561094017095</v>
      </c>
      <c r="L70" s="22">
        <f t="shared" si="58"/>
        <v>27531.841641025643</v>
      </c>
      <c r="M70" s="22">
        <f t="shared" si="59"/>
        <v>36709.122188034191</v>
      </c>
      <c r="N70" s="22">
        <f t="shared" si="60"/>
        <v>45886.402735042735</v>
      </c>
      <c r="O70" s="22">
        <f t="shared" si="61"/>
        <v>55063.683282051286</v>
      </c>
      <c r="P70" s="22">
        <f t="shared" si="62"/>
        <v>64240.963829059823</v>
      </c>
      <c r="Q70" s="24">
        <f t="shared" si="63"/>
        <v>73418.244376068382</v>
      </c>
    </row>
    <row r="71" spans="1:17" x14ac:dyDescent="0.25">
      <c r="A71" s="9">
        <v>30</v>
      </c>
      <c r="B71" s="12">
        <f t="shared" si="55"/>
        <v>8.3333333333333339</v>
      </c>
      <c r="C71" s="9">
        <v>100</v>
      </c>
      <c r="D71" s="3">
        <f t="shared" si="56"/>
        <v>0.01</v>
      </c>
      <c r="E71" s="12">
        <f>B71/C71</f>
        <v>8.3333333333333343E-2</v>
      </c>
      <c r="G71" s="9">
        <v>32</v>
      </c>
      <c r="H71" s="9">
        <f xml:space="preserve"> G71*1024*1024*1024*8</f>
        <v>274877906944</v>
      </c>
      <c r="I71" s="9">
        <f xml:space="preserve"> H71/208</f>
        <v>1321528398.7692308</v>
      </c>
      <c r="J71" s="22">
        <f>J70*2</f>
        <v>18354.561094017095</v>
      </c>
      <c r="K71" s="22">
        <f t="shared" si="57"/>
        <v>36709.122188034191</v>
      </c>
      <c r="L71" s="22">
        <f t="shared" si="58"/>
        <v>55063.683282051286</v>
      </c>
      <c r="M71" s="22">
        <f t="shared" si="59"/>
        <v>73418.244376068382</v>
      </c>
      <c r="N71" s="22">
        <f t="shared" si="60"/>
        <v>91772.80547008547</v>
      </c>
      <c r="O71" s="22">
        <f t="shared" si="61"/>
        <v>110127.36656410257</v>
      </c>
      <c r="P71" s="22">
        <f t="shared" si="62"/>
        <v>128481.92765811965</v>
      </c>
      <c r="Q71" s="24">
        <f t="shared" si="63"/>
        <v>146836.48875213676</v>
      </c>
    </row>
    <row r="72" spans="1:17" x14ac:dyDescent="0.25">
      <c r="A72" s="9">
        <v>35</v>
      </c>
      <c r="B72" s="12">
        <f t="shared" si="55"/>
        <v>9.7222222222222214</v>
      </c>
      <c r="C72" s="9">
        <v>100</v>
      </c>
      <c r="D72" s="3">
        <f t="shared" si="56"/>
        <v>0.01</v>
      </c>
      <c r="E72" s="12">
        <f>B72/C72</f>
        <v>9.722222222222221E-2</v>
      </c>
      <c r="G72" s="9">
        <v>64</v>
      </c>
      <c r="H72" s="9">
        <f xml:space="preserve"> G72*1024*1024*1024*8</f>
        <v>549755813888</v>
      </c>
      <c r="I72" s="9">
        <f xml:space="preserve"> H72/208</f>
        <v>2643056797.5384617</v>
      </c>
      <c r="J72" s="22">
        <f>J71*2</f>
        <v>36709.122188034191</v>
      </c>
      <c r="K72" s="22">
        <f t="shared" si="57"/>
        <v>73418.244376068382</v>
      </c>
      <c r="L72" s="22">
        <f t="shared" si="58"/>
        <v>110127.36656410257</v>
      </c>
      <c r="M72" s="22">
        <f t="shared" si="59"/>
        <v>146836.48875213676</v>
      </c>
      <c r="N72" s="22">
        <f t="shared" si="60"/>
        <v>183545.61094017094</v>
      </c>
      <c r="O72" s="22">
        <f t="shared" si="61"/>
        <v>220254.73312820515</v>
      </c>
      <c r="P72" s="22">
        <f t="shared" si="62"/>
        <v>256963.85531623929</v>
      </c>
      <c r="Q72" s="24">
        <f t="shared" si="63"/>
        <v>293672.97750427353</v>
      </c>
    </row>
    <row r="73" spans="1:17" x14ac:dyDescent="0.25">
      <c r="A73" s="10">
        <v>40</v>
      </c>
      <c r="B73" s="13">
        <f t="shared" si="55"/>
        <v>11.111111111111111</v>
      </c>
      <c r="C73" s="10">
        <v>100</v>
      </c>
      <c r="D73" s="4">
        <f t="shared" si="56"/>
        <v>0.01</v>
      </c>
      <c r="E73" s="13">
        <f>B73/C73</f>
        <v>0.1111111111111111</v>
      </c>
      <c r="G73" s="10">
        <v>128</v>
      </c>
      <c r="H73" s="10">
        <f xml:space="preserve"> G73*1024*1024*1024*8</f>
        <v>1099511627776</v>
      </c>
      <c r="I73" s="10">
        <f xml:space="preserve"> H73/208</f>
        <v>5286113595.0769234</v>
      </c>
      <c r="J73" s="25">
        <f>J72*2</f>
        <v>73418.244376068382</v>
      </c>
      <c r="K73" s="25">
        <f t="shared" si="57"/>
        <v>146836.48875213676</v>
      </c>
      <c r="L73" s="25">
        <f t="shared" si="58"/>
        <v>220254.73312820515</v>
      </c>
      <c r="M73" s="25">
        <f t="shared" si="59"/>
        <v>293672.97750427353</v>
      </c>
      <c r="N73" s="25">
        <f t="shared" si="60"/>
        <v>367091.22188034188</v>
      </c>
      <c r="O73" s="25">
        <f t="shared" si="61"/>
        <v>440509.46625641029</v>
      </c>
      <c r="P73" s="25">
        <f t="shared" si="62"/>
        <v>513927.71063247859</v>
      </c>
      <c r="Q73" s="26">
        <f t="shared" si="63"/>
        <v>587345.95500854705</v>
      </c>
    </row>
  </sheetData>
  <mergeCells count="9">
    <mergeCell ref="J25:Q25"/>
    <mergeCell ref="J35:Q35"/>
    <mergeCell ref="J45:Q45"/>
    <mergeCell ref="J55:Q55"/>
    <mergeCell ref="J65:Q65"/>
    <mergeCell ref="A1:B1"/>
    <mergeCell ref="A2:B2"/>
    <mergeCell ref="J5:Q5"/>
    <mergeCell ref="J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2018-03-11T23:12:47Z</dcterms:modified>
</cp:coreProperties>
</file>